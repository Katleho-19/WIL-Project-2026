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mel\Downloads\"/>
    </mc:Choice>
  </mc:AlternateContent>
  <xr:revisionPtr revIDLastSave="0" documentId="13_ncr:1_{2139D145-78E9-4CED-978A-245B1C381DE1}" xr6:coauthVersionLast="47" xr6:coauthVersionMax="47" xr10:uidLastSave="{00000000-0000-0000-0000-000000000000}"/>
  <bookViews>
    <workbookView xWindow="-120" yWindow="-120" windowWidth="20730" windowHeight="11040" firstSheet="3"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0" i="3" l="1"/>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G8" i="2"/>
  <c r="G7" i="2"/>
  <c r="G6" i="2"/>
  <c r="G5" i="2"/>
  <c r="G4" i="2"/>
  <c r="G9"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<sst xmlns="http://schemas.openxmlformats.org/spreadsheetml/2006/main" count="720" uniqueCount="437">
  <si>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</si>
  <si>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</si>
  <si>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</si>
  <si>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</si>
  <si>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</si>
  <si>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</si>
  <si>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</si>
  <si>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</si>
  <si>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</si>
  <si>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</si>
  <si>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</si>
  <si>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</si>
  <si>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</si>
  <si>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</si>
  <si>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</si>
  <si>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</si>
  <si>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</si>
  <si>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</si>
  <si>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</si>
  <si>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</si>
  <si>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</si>
  <si>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</si>
  <si>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</si>
  <si>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</si>
  <si>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</si>
  <si>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</si>
  <si>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</si>
  <si>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</si>
  <si>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</si>
  <si>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</si>
  <si>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</si>
  <si>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</si>
  <si>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</si>
  <si>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</si>
  <si>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</si>
  <si>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</si>
  <si>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</si>
  <si>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</si>
  <si>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</si>
  <si>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</si>
  <si>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</si>
  <si>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</si>
  <si>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</si>
  <si>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</si>
  <si>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</si>
  <si>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</si>
  <si>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</si>
  <si>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</si>
  <si>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</si>
  <si>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</si>
  <si>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</si>
  <si>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</si>
  <si>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</si>
  <si>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</si>
  <si>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</si>
  <si>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</si>
  <si>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</si>
  <si>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</si>
  <si>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</si>
  <si>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</si>
  <si>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</si>
  <si>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</si>
  <si>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</si>
  <si>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</si>
  <si>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</si>
  <si>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</si>
  <si>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</si>
  <si>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</si>
  <si>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</si>
  <si>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</si>
  <si>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</si>
  <si>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</si>
  <si>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</si>
  <si>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</si>
  <si>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</si>
  <si>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</si>
  <si>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</si>
  <si>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</si>
  <si>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</si>
  <si>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</si>
  <si>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</si>
  <si>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No</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</si>
  <si>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</si>
  <si>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</si>
  <si>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</si>
  <si>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</si>
  <si>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</si>
  <si>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</si>
  <si>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</si>
  <si>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</si>
  <si>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</si>
  <si>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</si>
  <si>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</si>
  <si>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</si>
  <si>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</si>
  <si>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</si>
  <si>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</si>
  <si>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</si>
  <si>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</si>
  <si>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</si>
  <si>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</si>
  <si>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</si>
  <si>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</si>
  <si>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</si>
  <si>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</si>
  <si>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</si>
  <si>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</si>
  <si>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</si>
  <si>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</si>
  <si>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</si>
  <si>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</si>
  <si>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</si>
  <si>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</si>
  <si>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</si>
  <si>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</si>
  <si>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</si>
  <si>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</si>
  <si>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</si>
  <si>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</si>
  <si>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</si>
  <si>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</si>
  <si>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</si>
  <si>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</si>
  <si>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</si>
  <si>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</si>
  <si>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</si>
  <si>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</si>
  <si>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</si>
  <si>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</si>
  <si>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</si>
  <si>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</si>
  <si>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</si>
  <si>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</si>
  <si>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</si>
  <si>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</si>
  <si>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</si>
  <si>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</si>
  <si>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</si>
  <si>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</si>
  <si>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</si>
  <si>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</si>
  <si>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</si>
  <si>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</si>
  <si>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</si>
  <si>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</si>
  <si>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</si>
  <si>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</si>
  <si>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Ctrl + Alt + Defeat</t>
  </si>
  <si>
    <t>Phehello Secondary Online Enrolment System</t>
  </si>
  <si>
    <t>Mr Elton Mokoduwe</t>
  </si>
  <si>
    <t>Lerato Mahlatsi</t>
  </si>
  <si>
    <t>Mamello Lepitla</t>
  </si>
  <si>
    <t>Paballo Lebusa</t>
  </si>
  <si>
    <t>Katleho Makhoali</t>
  </si>
  <si>
    <t>Yes</t>
  </si>
  <si>
    <t>Phehello Secondary School</t>
  </si>
  <si>
    <t>Mpho Motaung</t>
  </si>
  <si>
    <t>Online Meeting</t>
  </si>
  <si>
    <t>PIJ Lebusa, KI Makhoali, M Lepitla, M Motaung , DT Adegbola</t>
  </si>
  <si>
    <t>Maleshoane Adegbola - Principal, Zukiswa Khondlo - Secretary</t>
  </si>
  <si>
    <t>Stakeholder was confirmed and a date for formal interview was set.</t>
  </si>
  <si>
    <t>KI Makhoali, PIJ Lebusa, M Lepitla, M Motaung, DT Adegbola, LR Mahlatsi</t>
  </si>
  <si>
    <t>DT Adegbola</t>
  </si>
  <si>
    <t>Resolved</t>
  </si>
  <si>
    <t>N/A</t>
  </si>
  <si>
    <t>All</t>
  </si>
  <si>
    <t>We did not encounter major interpersonal conflicts, but external stakeholder delays and internal schedule delays and internal schedule mismatches disrupted our timelines. We adapted by rescheduling interviews, conducting asynchronous follow-ups, and redistributing critical drafting responsibilities to ensure project milestones and documentation requirements were met on time.</t>
  </si>
  <si>
    <t>Supabase setup &amp; SRS documentation</t>
  </si>
  <si>
    <t>Backend setup and cocumentation</t>
  </si>
  <si>
    <t>Set up Supabase project and completed /maintained the SRS and supporting documentation</t>
  </si>
  <si>
    <t>Major Phase 1 contribution</t>
  </si>
  <si>
    <t>GitHub repository setup</t>
  </si>
  <si>
    <t xml:space="preserve">GitHub setup </t>
  </si>
  <si>
    <t>Set up and organised the project GitHub repository</t>
  </si>
  <si>
    <t>Repository setup</t>
  </si>
  <si>
    <t>Tracker maintenace</t>
  </si>
  <si>
    <t>Stakeholder communication</t>
  </si>
  <si>
    <t>Schedule supporting</t>
  </si>
  <si>
    <t>No task volunteered for/ completed during Phase 1</t>
  </si>
  <si>
    <t>No contribution evidence available</t>
  </si>
  <si>
    <t>Prepared and updated the ITC327W Project Progress Tracker</t>
  </si>
  <si>
    <t>Assisted with communication and coordination relating to stakeholder engagement</t>
  </si>
  <si>
    <t>Stakeholder coordination</t>
  </si>
  <si>
    <t>Progress tracking</t>
  </si>
  <si>
    <t>Attended group meetings but no specific project task or delivearble was personally completed during phase 1</t>
  </si>
  <si>
    <t>Group participation and assigned project activities</t>
  </si>
  <si>
    <t>Group meetings/project participation</t>
  </si>
  <si>
    <t>David Adegbola</t>
  </si>
  <si>
    <t>1.1</t>
  </si>
  <si>
    <t>Stakeholder engagement &amp; problem identification</t>
  </si>
  <si>
    <t>Current-process analysis &amp; requirements gathering</t>
  </si>
  <si>
    <t>1.2</t>
  </si>
  <si>
    <t>1.3</t>
  </si>
  <si>
    <t>Draft initial SRS</t>
  </si>
  <si>
    <t>1.4</t>
  </si>
  <si>
    <t>Formal Stakeholder interview</t>
  </si>
  <si>
    <t>1.5</t>
  </si>
  <si>
    <t>Update SRS with real interview findings</t>
  </si>
  <si>
    <t>1.6</t>
  </si>
  <si>
    <t>Set up GitHub repository</t>
  </si>
  <si>
    <t>1.7</t>
  </si>
  <si>
    <t>Setup Supabase project</t>
  </si>
  <si>
    <t>1.8</t>
  </si>
  <si>
    <t>Unit 1 Progress Checkpoint submitted</t>
  </si>
  <si>
    <t>1.9</t>
  </si>
  <si>
    <t>Feasibility study</t>
  </si>
  <si>
    <t>Risk register &amp; Mitigation planning</t>
  </si>
  <si>
    <t>Baseline Microsoft Project Schedule</t>
  </si>
  <si>
    <t>1.10</t>
  </si>
  <si>
    <t>1.11</t>
  </si>
  <si>
    <t>1.12</t>
  </si>
  <si>
    <t>Group Phase 1 reflection</t>
  </si>
  <si>
    <t>1.13</t>
  </si>
  <si>
    <t>Initial engagement with the stakeholder to identify the current enrolment problem and understand the need for the proposed system.</t>
  </si>
  <si>
    <t>Analysed the existing enrolment process and gathered the initial requirements needed for the proposed online enrolment system</t>
  </si>
  <si>
    <t>Prepared the initial Software Requirements Specification based on the identified stakeholder problem, current process and gathered requirements.</t>
  </si>
  <si>
    <t>Conducted a formal interview with the stakeholder to validate the existing enrolment process, identify challenges , and confirm system requirements.</t>
  </si>
  <si>
    <t>Updated the SRS using the findings from the formal interview, including confirmed stakeholder needs, process information and system requirements.</t>
  </si>
  <si>
    <t>Created the project GitHub repository for shared project documentation and development work.</t>
  </si>
  <si>
    <t>Created and configured the Supabase project for the system backend.</t>
  </si>
  <si>
    <t>Submitted the Unit 1 progress checkpoint containing required project progress materials.</t>
  </si>
  <si>
    <t>Lerato Mahlatsi, Paballo Lebusa</t>
  </si>
  <si>
    <t>Completed the technical , operational , economic , schedule, legal, and ethical feasibility</t>
  </si>
  <si>
    <t>Identified project risks and developed appropriate mitigation strategies</t>
  </si>
  <si>
    <t>Created and baselined the Microsoft Project schedule showing project phases, tasks, dates, dependencies and responsibilities</t>
  </si>
  <si>
    <t>Compile Phase 1 Portfolio</t>
  </si>
  <si>
    <t>Compiled the Phase 1 portfolio containing the SRS , feasibility study, risk register and reflection.</t>
  </si>
  <si>
    <t>Prepare the group's reflection on Phase 1, progress, contributions, challenges and lessons learned.</t>
  </si>
  <si>
    <t>1.14</t>
  </si>
  <si>
    <t>Phase 1 Presentation</t>
  </si>
  <si>
    <t>Prepare and deliver the phase 1 assessment presentation and defence</t>
  </si>
  <si>
    <t>Introduce the project and identify the school's current enrol</t>
  </si>
  <si>
    <t xml:space="preserve">Full formal stakeholder needs-assessment interview </t>
  </si>
  <si>
    <t>Zukiswa Khondlo - Secretary to the Principal who is the delegate representative</t>
  </si>
  <si>
    <t>All the 12 interview questions were answered. All the findings were gathered and were also confirmed the same day.</t>
  </si>
  <si>
    <t>Gather detailed requirements and arrange formal interview.</t>
  </si>
  <si>
    <t>Appendex B</t>
  </si>
  <si>
    <t>Appendex C</t>
  </si>
  <si>
    <t>Update the STS with the findings and proceed with feasibility and risk analysis</t>
  </si>
  <si>
    <t>Coordinating stakeholder communication and arranging the formal interview required additional coordination.</t>
  </si>
  <si>
    <t>Requirements validation depended on obtaining stakeholder feedback before the SRS could be finalised.</t>
  </si>
  <si>
    <t>The group coordinated communication with the stakeholder and conducted the formal interview to obtain the required information.</t>
  </si>
  <si>
    <t>A large portion of the project documentation had to be completed and maintained by one person</t>
  </si>
  <si>
    <t>Increased the workload and time required to keep SRS and project documentation updated while other project activities were being completed.</t>
  </si>
  <si>
    <t>Documentation was prioritized and was organised alongside  the completion of the project activities to keep the project records up to date.</t>
  </si>
  <si>
    <t>Mamello lepitla</t>
  </si>
  <si>
    <t>Uneven participation among group members affected the distribution of project tasks.</t>
  </si>
  <si>
    <t>Some tasks had to be handled by fewer active members, increasing the workload and requiring additional coordination.</t>
  </si>
  <si>
    <t>Actual contributions were documented in the progress tracker, and responsibilities were clarified according to the work being completed.</t>
  </si>
  <si>
    <t>All members</t>
  </si>
  <si>
    <t>Nothing</t>
  </si>
  <si>
    <t>Project progress tracker and Microsoft project Scheduling</t>
  </si>
  <si>
    <t>Did the feasibility Study and risk analysis</t>
  </si>
  <si>
    <t>Feasibility Study and Risk Analysis</t>
  </si>
  <si>
    <t>Assisted with doing the feasibility Study and Risk Analysis</t>
  </si>
  <si>
    <t>System Architecture Diagram</t>
  </si>
  <si>
    <t>Created the project system architecture design</t>
  </si>
  <si>
    <t>Unit 3 / Phase 2</t>
  </si>
  <si>
    <t>Use Case Diagram</t>
  </si>
  <si>
    <t>Design the projects Use Case Diagram</t>
  </si>
  <si>
    <t>Sequence Diagram</t>
  </si>
  <si>
    <t>Design the projects Sequence Diagram</t>
  </si>
  <si>
    <t>Mpho Motaung, David Adegbola</t>
  </si>
  <si>
    <t>Entity Relationship Diagram</t>
  </si>
  <si>
    <t>Design the ERD</t>
  </si>
  <si>
    <t xml:space="preserve">Flutter interface designs </t>
  </si>
  <si>
    <t>Design the figma prototype for flutter</t>
  </si>
  <si>
    <t>ASP.NET interface design</t>
  </si>
  <si>
    <t>Design the figma prototype for ASP.net</t>
  </si>
  <si>
    <t>Stakeholder feedback</t>
  </si>
  <si>
    <t>Record the stakeholder feedback on the design</t>
  </si>
  <si>
    <t>Microsoft project</t>
  </si>
  <si>
    <t>fill the MS project schedule for phase 2</t>
  </si>
  <si>
    <t>Github</t>
  </si>
  <si>
    <t>Do the github documentation</t>
  </si>
  <si>
    <t>Project progress tracker</t>
  </si>
  <si>
    <t>Fill in The tracker for phase 2</t>
  </si>
  <si>
    <t>Updated SRS</t>
  </si>
  <si>
    <t>Update the SRS for phase 2</t>
  </si>
  <si>
    <t>SRS Documentation</t>
  </si>
  <si>
    <t>Update the SRS documentation for Phase 2</t>
  </si>
  <si>
    <t>System Architecture Diagram and Project progress tracker and MS Scheduling</t>
  </si>
  <si>
    <t>Progress tracking and system architecture design</t>
  </si>
  <si>
    <t>Sequence diagram for ASP.NET</t>
  </si>
  <si>
    <t>Did the Sequence Diagram for ASP.NET</t>
  </si>
  <si>
    <t>Flutter and ASP.NET interface design</t>
  </si>
  <si>
    <t>Design the Flutter and ASP.NET interface Design</t>
  </si>
  <si>
    <t>Sequence diagram for Flutter</t>
  </si>
  <si>
    <t>Did the Sequence Diagram for Flutter</t>
  </si>
  <si>
    <t>Did all the Documentation And also The Updated SRS</t>
  </si>
  <si>
    <t>Updated the Project Tracker and Fixed the MS project Also Designed the System Architecture</t>
  </si>
  <si>
    <t>Completed the Sequence Diagram For the ASP.NET</t>
  </si>
  <si>
    <t>Completed the Sequence Diagram For the Flutter</t>
  </si>
  <si>
    <t>Did the Interface designs but they were incomplete and was finished by Mamello Lepitla and Paballo Lebusa</t>
  </si>
  <si>
    <t>Design the Use Case diagram and Github Documentation</t>
  </si>
  <si>
    <t>Completed the Use Case for Both Parent and Admin and github Documentation</t>
  </si>
  <si>
    <t>The Interface Design was left unfinished.</t>
  </si>
  <si>
    <t>Some  Students had to leave they work and fix the design</t>
  </si>
  <si>
    <t>A new interface design was done by some members</t>
  </si>
  <si>
    <t>Mamello lepitla, Paballo Lebusa</t>
  </si>
  <si>
    <t>Phehello Online Enrollments System</t>
  </si>
  <si>
    <t>Whatsapp Meeting</t>
  </si>
  <si>
    <t>Feedback on Figma Wireframes</t>
  </si>
  <si>
    <t>The Stakeholder Requested we Use Brown and White as the main colors of the interface</t>
  </si>
  <si>
    <t>Update the flutter and ASP.NET wireframes using brown and white as the primary color scheme, with supporting neutral/accent colours where needed for readability and status indicators</t>
  </si>
  <si>
    <t>Feedback on Enrollment fee and School Banking Details</t>
  </si>
  <si>
    <t>Display the required enrollment fee and school banking details in the parent-facing payment step and allow parents to enter a payment reference before uploading the proof of payment</t>
  </si>
  <si>
    <t>Added a dedicated Payment Information screen displaying the fee and banking details and updated proof of payment screen to capture the payment reference before the proof of payment document is uploaded</t>
  </si>
  <si>
    <t>Unit 4 / Phase 3</t>
  </si>
  <si>
    <t>28 September 2026 to 25 October 2026</t>
  </si>
  <si>
    <t>Updated and completed the SRS and Developed and integrated the Flutter parent enrolment app and the ASP.NET staff web app on a shared Supabase backend, covering application submission, document and proof-of-payment upload, staff review, payment verification and confirmation letters.</t>
  </si>
  <si>
    <t>Making both apps work safely on one Supabase database, because row-level security and file-storage rules blocked cross-role actions unti][</t>
  </si>
  <si>
    <t>Phase 3 final  presentation</t>
  </si>
  <si>
    <t>Confirmation letters</t>
  </si>
  <si>
    <t>Delete application</t>
  </si>
  <si>
    <t>Test data and sample documents</t>
  </si>
  <si>
    <t>Integration and testing</t>
  </si>
  <si>
    <t>Row-level security stopped staff and parents from doing what each role needed.</t>
  </si>
  <si>
    <t>Some staff screens and uploads failed until access was fixed.</t>
  </si>
  <si>
    <t>Wrote a staff access patch and per-role policies for tables and storage.</t>
  </si>
  <si>
    <t>Paballo Lebusa, Mamello Lepitla</t>
  </si>
  <si>
    <t>Parents could not delete an application because the tables have no cascading deletes and RLS blocked it.</t>
  </si>
  <si>
    <t>Deletion was impossible from the app.</t>
  </si>
  <si>
    <t>Created a database function that removes all related records in one transaction, plus storage delete policies.</t>
  </si>
  <si>
    <t xml:space="preserve">Paballo Lebusa </t>
  </si>
  <si>
    <t>28 September 2026 - 25 October 2026</t>
  </si>
  <si>
    <t>Flutter parent app, ASP.NET staff app, Supabase schema and policies, payment proof and verification, confirmation letters, delete application, test data and demonstration.</t>
  </si>
  <si>
    <t>Flutter parent app, ASP.NET staff app And supabase development and integration</t>
  </si>
  <si>
    <t>The most important lesson from Phase 3 was that security rules must be designed together with the features, not added afterwards. Almost every problem we met came from row-level security and storage policies in Supabase rather than from the screens. Features such as deleting an application touch many related tables and uploaded files, so they needed careful ordering and a database function instead of simple queries.</t>
  </si>
  <si>
    <t>The work went well because the Phase 2 designs carried straight into development. The stakeholder’s request for brown and white colours, and for a payment step showing the fee, banking details and payment reference, was built into the Flutter parent app and the ASP.NET staff app. A shared Supabase backend gave both applications the same data, which made integration and testing easier.</t>
  </si>
  <si>
    <t>The hardest parts were the access policies and the features that affect many records at once. Parents and staff need different permissions, and several screens and uploads failed until we corrected the policies. We learned to test each feature with both roles before calling it finished.</t>
  </si>
  <si>
    <t>Tasks were divided according to each member’s strengths, with some members focusing on the parent app, others on the staff app and backend, and others on documentation, testing and project tracking. Contribution was not completely even, and some members had to take on extra work to keep deliverables on schedule. We recorded this in the contribution record..</t>
  </si>
  <si>
    <t>We handled delays by redistributing work and following up through messages, and we had no major conflicts..</t>
  </si>
  <si>
    <t>From the stakeholder we learned that the school wants a simple, clear process that replaces the slow paper-based enrolment, and that payment details must be visible to parents before they upload proof of payment.</t>
  </si>
  <si>
    <t>Staff and payment features, project tracking</t>
  </si>
  <si>
    <t>Parent app development</t>
  </si>
  <si>
    <t>ASP.NET payment verification</t>
  </si>
  <si>
    <t>Unit4/Phase 3</t>
  </si>
  <si>
    <t>WhatsApp</t>
  </si>
  <si>
    <t>Confirmation of the developed system</t>
  </si>
  <si>
    <t>Maleshoane Gweneth Adegbola)–  Principal, Phehello Secondary School</t>
  </si>
  <si>
    <t>Confirmation form sent and signed form received on the same day.</t>
  </si>
  <si>
    <t>Insert the signed form in the SRS, Part E (Figure 4.72).</t>
  </si>
  <si>
    <t>SRS Part E, Figure 4.79</t>
  </si>
  <si>
    <t>Unit 4/Phase 3</t>
  </si>
  <si>
    <t>A member’s GitHub account was left signed in on a school lab computer, so a commit made from that computer showed that member’s name and the author could not be changed.</t>
  </si>
  <si>
    <t>Commits were attributed to the wrong person, which could misrepresent who did the work.</t>
  </si>
  <si>
    <t>Each member committed from their own GitHub account instead, so every contribution is recorded under the right name.</t>
  </si>
  <si>
    <t>1.15</t>
  </si>
  <si>
    <t>1.16</t>
  </si>
  <si>
    <t>1.17</t>
  </si>
  <si>
    <t>1.18</t>
  </si>
  <si>
    <t>1.19</t>
  </si>
  <si>
    <t>1.21</t>
  </si>
  <si>
    <t>1.22</t>
  </si>
  <si>
    <t>1.23</t>
  </si>
  <si>
    <t>1.24</t>
  </si>
  <si>
    <t>1.25</t>
  </si>
  <si>
    <t>1.27</t>
  </si>
  <si>
    <t>1.28</t>
  </si>
  <si>
    <t>1.29</t>
  </si>
  <si>
    <t>Lerato Mahlatsi,Mamello Lepitla, Paballo Lebusa</t>
  </si>
  <si>
    <t>Paballo Lebusa,Mamello Lepitla, Lerato Mahlatsi</t>
  </si>
  <si>
    <t>1.30</t>
  </si>
  <si>
    <t xml:space="preserve">Microsoft Project Schedule </t>
  </si>
  <si>
    <t>Update the Microsoft Project Schedule for Phase 3</t>
  </si>
  <si>
    <t xml:space="preserve">Progress Tracker </t>
  </si>
  <si>
    <t>Update the Progress Tracker</t>
  </si>
  <si>
    <t>Github documentation</t>
  </si>
  <si>
    <t>SRS</t>
  </si>
  <si>
    <t>Updated the SRS(Part E)</t>
  </si>
  <si>
    <t>1.20</t>
  </si>
  <si>
    <t>1.31</t>
  </si>
  <si>
    <t>Supabase scheme and security policies</t>
  </si>
  <si>
    <t>1.32</t>
  </si>
  <si>
    <t>Developed parent registration, login, the six-step enrolment wizard and document upload</t>
  </si>
  <si>
    <t>Katleho Makhoali, Mpho Motaung, David Adegbola</t>
  </si>
  <si>
    <t xml:space="preserve">Flutter : registration, login and enrolment </t>
  </si>
  <si>
    <t>1.33</t>
  </si>
  <si>
    <t>Flutter: payment information and proof of payment</t>
  </si>
  <si>
    <t>Implemented the payment information screen an dproof-of-payment upolad with payment reference</t>
  </si>
  <si>
    <t>Implemented the database scheme, row-level security, storage policies and staff access policies for both apps.</t>
  </si>
  <si>
    <t>1.34</t>
  </si>
  <si>
    <t>Flutter: status, notifications, profile and help</t>
  </si>
  <si>
    <t>Built My Applications, Application Details, Messages and Notifications, Profile and Help &amp; Support</t>
  </si>
  <si>
    <t>1.35</t>
  </si>
  <si>
    <t>ASP.NET: login, dashboards and application lists</t>
  </si>
  <si>
    <t>Developed staff login with role-based access, both dashboards and the application lists</t>
  </si>
  <si>
    <t>Mamello Lepitla, Paballo Lebusa, Lerato Mahlatsi</t>
  </si>
  <si>
    <t>Developed the review page with approve, reject, request corrections and internal notes</t>
  </si>
  <si>
    <t>1.36</t>
  </si>
  <si>
    <t>1.37</t>
  </si>
  <si>
    <t>ASP.NET: payment verification</t>
  </si>
  <si>
    <t>Developed clerk payment verification against the school payment records</t>
  </si>
  <si>
    <t>1.38</t>
  </si>
  <si>
    <t>1.39</t>
  </si>
  <si>
    <t>1.40</t>
  </si>
  <si>
    <t>1.41</t>
  </si>
  <si>
    <t>1.42</t>
  </si>
  <si>
    <t>1.43</t>
  </si>
  <si>
    <t>1.44</t>
  </si>
  <si>
    <t>1.45</t>
  </si>
  <si>
    <t>1.46</t>
  </si>
  <si>
    <t>1.47</t>
  </si>
  <si>
    <t>ASP.NET: messaging and reminders</t>
  </si>
  <si>
    <t>Built the Message Parent and Send Deadline Reminder pages</t>
  </si>
  <si>
    <t>Implemented confirmation letter generation</t>
  </si>
  <si>
    <t>Mamello Lepitla, Paballo Lebusa</t>
  </si>
  <si>
    <t>Implemented parent deletion of an application with related records and files; Paballo wrote the database function</t>
  </si>
  <si>
    <t>Katleho Makhoali, Mpho Motaung, David Adegbola, Paballo Lebusa</t>
  </si>
  <si>
    <t>Prepared fictional learners, sample documents and school payment records</t>
  </si>
  <si>
    <t>Commit code to Github</t>
  </si>
  <si>
    <t>Committed the Flutter and ASP.NET code. Each member committed from their own account after a lab-computer login problem</t>
  </si>
  <si>
    <t>Tested the full flow from parent submission to staff review and payment verification, including role access tests</t>
  </si>
  <si>
    <t>Corrections after lecturer feedback</t>
  </si>
  <si>
    <t>Clearer dashboard charts and a Save &amp; Close button on the enrolment form</t>
  </si>
  <si>
    <t>Stakeholder confirmation of the developed system</t>
  </si>
  <si>
    <t>Sent the confirmation form to the stakeholder and received it signed the same day</t>
  </si>
  <si>
    <t>Final GitHub release, MS Project report and group reflection</t>
  </si>
  <si>
    <t>Final repository release and final project report</t>
  </si>
  <si>
    <t>Final presentation and defence (Assessment 3)</t>
  </si>
  <si>
    <t>Present and defend the system</t>
  </si>
  <si>
    <t>Supabase backend, ASP.NET staff features, test data, SRS</t>
  </si>
  <si>
    <t>Backend security, payment and staff features, documentation</t>
  </si>
  <si>
    <t>Implemented the Supabase schema, row-level security and storage policies. Worked on the payment information and proof-of-payment screens, the ASP.NET staff screens, application review and notes, and confirmation letters. Prepared the test data and updated the SRS (Part E). Took part in integration testing and committed work from her own GitHub account.</t>
  </si>
  <si>
    <t>Staff features, database fixes, Project schedule and tracker</t>
  </si>
  <si>
    <t>Worked on the ASP.NET staff screens, application review, confirmation letters and the payment screens. Wrote the staff access patch with Mamello and the database function for deleting applications. Updated the Microsoft Project schedule and the Progress Tracker. Took part in integration testing and committed from his own GitHub account.</t>
  </si>
  <si>
    <t>Flutter parent app, GitHub</t>
  </si>
  <si>
    <t>Parent app development, GitHub documentation</t>
  </si>
  <si>
    <t>Developed the Flutter registration, login, enrolment and status screens and the delete-application feature with Mpho and David. Wrote the GitHub documentation. Took part in integration testing and committed from his own GitHub account.</t>
  </si>
  <si>
    <t>Financial Clerk features</t>
  </si>
  <si>
    <t>Developed the clerk payment verification against the school payment records and worked on the ASP.NET staff screens. Took part in integration testing and committed from her own GitHub account.</t>
  </si>
  <si>
    <t>Flutter parent app, stakeholder communication</t>
  </si>
  <si>
    <t>Parent app development, stakeholder coordination</t>
  </si>
  <si>
    <t>Developed the Flutter enrolment screens and the delete-application feature with Katleho and Mpho. Contacted the stakeholder, sent the confirmation form and received the signed form on 25 Oct 2026. Took part in integration testing and committed from his own GitHub account.</t>
  </si>
  <si>
    <t>Developed the Flutter enrolment, status and notification screens and the delete-application feature with Katleho and David. Took part in integration testing and committed from his own GitHub account.</t>
  </si>
  <si>
    <t>Flutter parent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</si>
</sst>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0"/>
      <name val="Times New Roman"/>
      <family val="1"/>
    </font>
    <font>
      <sz val="10"/>
      <color rgb="FF000000"/>
      <name val="Times New Roman"/>
      <family val="1"/>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1">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6" fillId="0" borderId="0" xfId="0" applyFont="1"/>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horizontal="left" vertical="center" indent="1"/>
    </xf>
    <xf numFmtId="0" fontId="7" fillId="0" borderId="0" xfId="0" applyFont="1"/>
    <xf numFmtId="14" fontId="0" fillId="0" borderId="0" xfId="0" applyNumberFormat="1"/>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46</c:v>
                </c:pt>
                <c:pt idx="1">
                  <c:v>0</c:v>
                </c:pt>
                <c:pt idx="2">
                  <c:v>0</c:v>
                </c:pt>
                <c:pt idx="3">
                  <c:v>0</c:v>
                </c:pt>
                <c:pt idx="4">
                  <c:v>0</c:v>
                </c:pt>
                <c:pt idx="5">
                  <c:v>0</c:v>
                </c:pt>
              </c:numCache>
            </c:numRef>
          </c:val>
          <c:extLst>
            <c:ext xmlns:c16="http://schemas.microsoft.com/office/drawing/2014/chart" uri="{C3380CC4-5D6E-409C-BE32-E72D297353CC}">
              <c16:uniqueId val="{00000000-689D-447F-9F55-A77E8B9AE84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90">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8" workbookViewId="0">
      <selection activeCell="A18" sqref="A18"/>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0" t="s">
        <v>0</v>
      </c>
      <c r="B1" s="30"/>
      <c r="C1" s="30"/>
      <c r="D1" s="30"/>
      <c r="E1" s="30"/>
      <c r="F1" s="30"/>
      <c r="G1" s="30"/>
      <c r="H1" s="30"/>
    </row>
    <row r="3" spans="1:8" ht="42" customHeight="1">
      <c r="A3" s="31" t="s">
        <v>1</v>
      </c>
      <c r="B3" s="31"/>
      <c r="C3" s="31"/>
      <c r="D3" s="31"/>
      <c r="E3" s="31"/>
      <c r="F3" s="31"/>
      <c r="G3" s="31"/>
      <c r="H3" s="31"/>
    </row>
    <row r="5" spans="1:8" ht="15">
      <c r="A5" s="1" t="s">
        <v>2</v>
      </c>
      <c r="B5" s="2" t="s">
        <v>3</v>
      </c>
      <c r="D5" s="32" t="s">
        <v>4</v>
      </c>
      <c r="E5" s="33"/>
      <c r="F5" s="34"/>
      <c r="G5" s="34"/>
      <c r="H5" s="34"/>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2" t="s">
        <v>31</v>
      </c>
      <c r="E13" s="33"/>
      <c r="F13" s="34"/>
      <c r="G13" s="34"/>
      <c r="H13" s="34"/>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A9" workbookViewId="0">
      <selection activeCell="B14" sqref="B14"/>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0" t="s">
        <v>40</v>
      </c>
      <c r="B1" s="30"/>
      <c r="C1" s="30"/>
      <c r="D1" s="30"/>
      <c r="E1" s="30"/>
      <c r="F1" s="30"/>
      <c r="G1" s="30"/>
      <c r="H1" s="30"/>
      <c r="I1" s="30"/>
      <c r="J1" s="30"/>
      <c r="K1" s="30"/>
      <c r="L1" s="30"/>
    </row>
    <row r="3" spans="1:12" ht="15">
      <c r="A3" s="1" t="s">
        <v>41</v>
      </c>
      <c r="B3" s="2" t="s">
        <v>42</v>
      </c>
      <c r="F3" s="1" t="s">
        <v>43</v>
      </c>
      <c r="G3" s="2" t="s">
        <v>44</v>
      </c>
    </row>
    <row r="4" spans="1:12" ht="27.95" customHeight="1">
      <c r="A4" s="3" t="s">
        <v>45</v>
      </c>
      <c r="B4" s="7" t="s">
        <v>147</v>
      </c>
      <c r="F4" s="3" t="s">
        <v>46</v>
      </c>
      <c r="G4" s="10">
        <f>COUNTIF('Task Progress'!H2:H90,"Completed")</f>
        <v>46</v>
      </c>
    </row>
    <row r="5" spans="1:12" ht="27.95" customHeight="1">
      <c r="A5" s="3" t="s">
        <v>47</v>
      </c>
      <c r="B5" s="29" t="s">
        <v>148</v>
      </c>
      <c r="F5" s="3" t="s">
        <v>48</v>
      </c>
      <c r="G5" s="10">
        <f>COUNTIF('Task Progress'!H2:H90,"In Progress")</f>
        <v>0</v>
      </c>
    </row>
    <row r="6" spans="1:12" ht="27.95" customHeight="1">
      <c r="A6" s="3" t="s">
        <v>49</v>
      </c>
      <c r="B6" s="7" t="s">
        <v>155</v>
      </c>
      <c r="F6" s="3" t="s">
        <v>50</v>
      </c>
      <c r="G6" s="10">
        <f>COUNTIF('Task Progress'!H2:H90,"Not Started")</f>
        <v>0</v>
      </c>
    </row>
    <row r="7" spans="1:12" ht="27.95" customHeight="1">
      <c r="A7" s="3" t="s">
        <v>51</v>
      </c>
      <c r="B7" s="7" t="s">
        <v>149</v>
      </c>
      <c r="F7" s="3" t="s">
        <v>52</v>
      </c>
      <c r="G7" s="10">
        <f>COUNTIF('Task Progress'!H2:H90,"Delayed")</f>
        <v>0</v>
      </c>
    </row>
    <row r="8" spans="1:12" ht="27.95" customHeight="1">
      <c r="A8" s="3" t="s">
        <v>53</v>
      </c>
      <c r="B8" s="7" t="s">
        <v>308</v>
      </c>
      <c r="F8" s="3" t="s">
        <v>54</v>
      </c>
      <c r="G8" s="10">
        <f>COUNTIF('Task Progress'!H2:H90,"Blocked")</f>
        <v>0</v>
      </c>
    </row>
    <row r="9" spans="1:12" ht="27.95" customHeight="1">
      <c r="A9" s="3" t="s">
        <v>55</v>
      </c>
      <c r="B9" s="7" t="s">
        <v>309</v>
      </c>
      <c r="F9" s="5" t="s">
        <v>56</v>
      </c>
      <c r="G9" s="11">
        <f ca="1">COUNTIF('Task Progress'!M2:M90,"Overdue")</f>
        <v>0</v>
      </c>
    </row>
    <row r="10" spans="1:12" ht="27.95" customHeight="1">
      <c r="A10" s="3" t="s">
        <v>57</v>
      </c>
      <c r="B10" s="7" t="s">
        <v>46</v>
      </c>
    </row>
    <row r="11" spans="1:12" ht="27.95" customHeight="1">
      <c r="A11" s="3" t="s">
        <v>58</v>
      </c>
      <c r="B11" s="8">
        <v>1</v>
      </c>
      <c r="F11" s="1" t="s">
        <v>59</v>
      </c>
      <c r="G11" s="2" t="s">
        <v>44</v>
      </c>
    </row>
    <row r="12" spans="1:12" ht="48" customHeight="1">
      <c r="A12" s="3" t="s">
        <v>60</v>
      </c>
      <c r="B12" s="7" t="s">
        <v>310</v>
      </c>
      <c r="F12" s="3" t="s">
        <v>61</v>
      </c>
      <c r="G12" s="10">
        <f>COUNTIF('Individual Contributions'!E3:E201,"?*")</f>
        <v>18</v>
      </c>
    </row>
    <row r="13" spans="1:12" ht="48" customHeight="1">
      <c r="A13" s="3" t="s">
        <v>62</v>
      </c>
      <c r="B13" s="7" t="s">
        <v>311</v>
      </c>
      <c r="F13" s="3" t="s">
        <v>63</v>
      </c>
      <c r="G13" s="10">
        <f>COUNTIFS('Individual Contributions'!E3:E201,"?*",'Individual Contributions'!J3:J201,"Yes")</f>
        <v>18</v>
      </c>
    </row>
    <row r="14" spans="1:12" ht="48" customHeight="1">
      <c r="A14" s="5" t="s">
        <v>64</v>
      </c>
      <c r="B14" s="9" t="s">
        <v>312</v>
      </c>
      <c r="F14" s="3" t="s">
        <v>65</v>
      </c>
      <c r="G14" s="10">
        <f>COUNTIFS('Individual Contributions'!E3:E201,"?*",'Individual Contributions'!J3:J201,"No")</f>
        <v>0</v>
      </c>
    </row>
    <row r="15" spans="1:12" ht="15">
      <c r="F15" s="5" t="s">
        <v>66</v>
      </c>
      <c r="G15" s="11">
        <f>COUNT('Stakeholder Engagement'!A3:A101)</f>
        <v>5</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0"/>
  <sheetViews>
    <sheetView topLeftCell="A28" zoomScale="96" zoomScaleNormal="96" workbookViewId="0">
      <selection activeCell="D48" sqref="D48"/>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0" t="s">
        <v>67</v>
      </c>
      <c r="B1" s="30"/>
      <c r="C1" s="30"/>
      <c r="D1" s="30"/>
      <c r="E1" s="30"/>
      <c r="F1" s="30"/>
      <c r="G1" s="30"/>
      <c r="H1" s="30"/>
      <c r="I1" s="30"/>
      <c r="J1" s="30"/>
      <c r="K1" s="30"/>
      <c r="L1" s="30"/>
      <c r="M1" s="30"/>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ht="57">
      <c r="A3" s="16" t="s">
        <v>188</v>
      </c>
      <c r="B3" s="12" t="s">
        <v>32</v>
      </c>
      <c r="C3" s="12" t="s">
        <v>189</v>
      </c>
      <c r="D3" s="12" t="s">
        <v>213</v>
      </c>
      <c r="E3" s="12" t="s">
        <v>187</v>
      </c>
      <c r="F3" s="13">
        <v>46251</v>
      </c>
      <c r="G3" s="13">
        <v>46255</v>
      </c>
      <c r="H3" s="12" t="s">
        <v>46</v>
      </c>
      <c r="I3" s="14">
        <v>100</v>
      </c>
      <c r="J3" s="12"/>
      <c r="K3" s="12" t="s">
        <v>154</v>
      </c>
      <c r="L3" s="12"/>
      <c r="M3" s="17" t="str">
        <f t="shared" ref="M3:M27" ca="1" si="0">IF(D3="","",IF(H3="Completed","Completed",IF(H3="Blocked","Blocked",IF(H3="Delayed","Delayed",IF(AND(G3&lt;&gt;"",G3&lt;TODAY(),H3&lt;&gt;"Completed"),"Overdue","On Track")))))</f>
        <v>Completed</v>
      </c>
    </row>
    <row r="4" spans="1:13" ht="57">
      <c r="A4" s="16" t="s">
        <v>191</v>
      </c>
      <c r="B4" s="12" t="s">
        <v>32</v>
      </c>
      <c r="C4" s="12" t="s">
        <v>190</v>
      </c>
      <c r="D4" s="12" t="s">
        <v>214</v>
      </c>
      <c r="E4" s="12" t="s">
        <v>152</v>
      </c>
      <c r="F4" s="13">
        <v>46251</v>
      </c>
      <c r="G4" s="13">
        <v>46255</v>
      </c>
      <c r="H4" s="12" t="s">
        <v>46</v>
      </c>
      <c r="I4" s="14">
        <v>100</v>
      </c>
      <c r="J4" s="12"/>
      <c r="K4" s="12" t="s">
        <v>154</v>
      </c>
      <c r="L4" s="12"/>
      <c r="M4" s="17" t="str">
        <f t="shared" ca="1" si="0"/>
        <v>Completed</v>
      </c>
    </row>
    <row r="5" spans="1:13" ht="57">
      <c r="A5" s="16" t="s">
        <v>192</v>
      </c>
      <c r="B5" s="12" t="s">
        <v>32</v>
      </c>
      <c r="C5" s="12" t="s">
        <v>193</v>
      </c>
      <c r="D5" s="12" t="s">
        <v>215</v>
      </c>
      <c r="E5" s="12" t="s">
        <v>151</v>
      </c>
      <c r="F5" s="13">
        <v>46254</v>
      </c>
      <c r="G5" s="13">
        <v>46254</v>
      </c>
      <c r="H5" s="12" t="s">
        <v>46</v>
      </c>
      <c r="I5" s="14">
        <v>100</v>
      </c>
      <c r="J5" s="12"/>
      <c r="K5" s="12" t="s">
        <v>154</v>
      </c>
      <c r="L5" s="12"/>
      <c r="M5" s="17" t="str">
        <f t="shared" ca="1" si="0"/>
        <v>Completed</v>
      </c>
    </row>
    <row r="6" spans="1:13" ht="57">
      <c r="A6" s="16" t="s">
        <v>194</v>
      </c>
      <c r="B6" s="12" t="s">
        <v>32</v>
      </c>
      <c r="C6" s="12" t="s">
        <v>195</v>
      </c>
      <c r="D6" s="12" t="s">
        <v>216</v>
      </c>
      <c r="E6" s="12" t="s">
        <v>165</v>
      </c>
      <c r="F6" s="13">
        <v>46258</v>
      </c>
      <c r="G6" s="13">
        <v>46258</v>
      </c>
      <c r="H6" s="12" t="s">
        <v>46</v>
      </c>
      <c r="I6" s="14">
        <v>100</v>
      </c>
      <c r="J6" s="12"/>
      <c r="K6" s="12" t="s">
        <v>154</v>
      </c>
      <c r="L6" s="12"/>
      <c r="M6" s="17" t="str">
        <f t="shared" ca="1" si="0"/>
        <v>Completed</v>
      </c>
    </row>
    <row r="7" spans="1:13" ht="57">
      <c r="A7" s="16" t="s">
        <v>196</v>
      </c>
      <c r="B7" s="12" t="s">
        <v>32</v>
      </c>
      <c r="C7" s="12" t="s">
        <v>197</v>
      </c>
      <c r="D7" s="12" t="s">
        <v>217</v>
      </c>
      <c r="E7" s="12" t="s">
        <v>151</v>
      </c>
      <c r="F7" s="13">
        <v>46258</v>
      </c>
      <c r="G7" s="13">
        <v>46260</v>
      </c>
      <c r="H7" s="12" t="s">
        <v>46</v>
      </c>
      <c r="I7" s="14">
        <v>100</v>
      </c>
      <c r="J7" s="12"/>
      <c r="K7" s="12" t="s">
        <v>154</v>
      </c>
      <c r="L7" s="12"/>
      <c r="M7" s="17" t="str">
        <f t="shared" ca="1" si="0"/>
        <v>Completed</v>
      </c>
    </row>
    <row r="8" spans="1:13" ht="42.75">
      <c r="A8" s="16" t="s">
        <v>198</v>
      </c>
      <c r="B8" s="12" t="s">
        <v>32</v>
      </c>
      <c r="C8" s="12" t="s">
        <v>199</v>
      </c>
      <c r="D8" s="12" t="s">
        <v>218</v>
      </c>
      <c r="E8" s="12" t="s">
        <v>153</v>
      </c>
      <c r="F8" s="13">
        <v>46256</v>
      </c>
      <c r="G8" s="13">
        <v>46256</v>
      </c>
      <c r="H8" s="12" t="s">
        <v>46</v>
      </c>
      <c r="I8" s="14">
        <v>100</v>
      </c>
      <c r="J8" s="12"/>
      <c r="K8" s="12" t="s">
        <v>154</v>
      </c>
      <c r="L8" s="12"/>
      <c r="M8" s="17" t="str">
        <f t="shared" ca="1" si="0"/>
        <v>Completed</v>
      </c>
    </row>
    <row r="9" spans="1:13" ht="28.5">
      <c r="A9" s="16" t="s">
        <v>200</v>
      </c>
      <c r="B9" s="12" t="s">
        <v>32</v>
      </c>
      <c r="C9" s="12" t="s">
        <v>201</v>
      </c>
      <c r="D9" s="12" t="s">
        <v>219</v>
      </c>
      <c r="E9" s="12" t="s">
        <v>151</v>
      </c>
      <c r="F9" s="13">
        <v>46260</v>
      </c>
      <c r="G9" s="13">
        <v>46260</v>
      </c>
      <c r="H9" s="12" t="s">
        <v>46</v>
      </c>
      <c r="I9" s="14">
        <v>100</v>
      </c>
      <c r="J9" s="12"/>
      <c r="K9" s="12" t="s">
        <v>81</v>
      </c>
      <c r="L9" s="12"/>
      <c r="M9" s="17" t="str">
        <f t="shared" ca="1" si="0"/>
        <v>Completed</v>
      </c>
    </row>
    <row r="10" spans="1:13" ht="42.75">
      <c r="A10" s="16" t="s">
        <v>202</v>
      </c>
      <c r="B10" s="12" t="s">
        <v>32</v>
      </c>
      <c r="C10" s="12" t="s">
        <v>203</v>
      </c>
      <c r="D10" s="12" t="s">
        <v>220</v>
      </c>
      <c r="E10" s="12" t="s">
        <v>153</v>
      </c>
      <c r="F10" s="13">
        <v>46260</v>
      </c>
      <c r="G10" s="13">
        <v>46260</v>
      </c>
      <c r="H10" s="12" t="s">
        <v>46</v>
      </c>
      <c r="I10" s="14">
        <v>100</v>
      </c>
      <c r="J10" s="12"/>
      <c r="K10" s="12" t="s">
        <v>154</v>
      </c>
      <c r="L10" s="12"/>
      <c r="M10" s="17" t="str">
        <f t="shared" ca="1" si="0"/>
        <v>Completed</v>
      </c>
    </row>
    <row r="11" spans="1:13" ht="42.75">
      <c r="A11" s="16" t="s">
        <v>204</v>
      </c>
      <c r="B11" s="12" t="s">
        <v>32</v>
      </c>
      <c r="C11" s="12" t="s">
        <v>205</v>
      </c>
      <c r="D11" s="12" t="s">
        <v>222</v>
      </c>
      <c r="E11" s="12" t="s">
        <v>221</v>
      </c>
      <c r="F11" s="13">
        <v>46258</v>
      </c>
      <c r="G11" s="13">
        <v>46262</v>
      </c>
      <c r="H11" s="12" t="s">
        <v>46</v>
      </c>
      <c r="I11" s="14">
        <v>100</v>
      </c>
      <c r="J11" s="12"/>
      <c r="K11" s="12" t="s">
        <v>154</v>
      </c>
      <c r="L11" s="12"/>
      <c r="M11" s="17" t="str">
        <f t="shared" ca="1" si="0"/>
        <v>Completed</v>
      </c>
    </row>
    <row r="12" spans="1:13" ht="42.75">
      <c r="A12" s="16" t="s">
        <v>208</v>
      </c>
      <c r="B12" s="12" t="s">
        <v>32</v>
      </c>
      <c r="C12" s="12" t="s">
        <v>206</v>
      </c>
      <c r="D12" s="12" t="s">
        <v>223</v>
      </c>
      <c r="E12" s="12" t="s">
        <v>221</v>
      </c>
      <c r="F12" s="13">
        <v>46258</v>
      </c>
      <c r="G12" s="13">
        <v>46258</v>
      </c>
      <c r="H12" s="12" t="s">
        <v>46</v>
      </c>
      <c r="I12" s="14">
        <v>100</v>
      </c>
      <c r="J12" s="12"/>
      <c r="K12" s="12" t="s">
        <v>154</v>
      </c>
      <c r="L12" s="12"/>
      <c r="M12" s="17" t="str">
        <f t="shared" ca="1" si="0"/>
        <v>Completed</v>
      </c>
    </row>
    <row r="13" spans="1:13" ht="42.75">
      <c r="A13" s="16" t="s">
        <v>209</v>
      </c>
      <c r="B13" s="12" t="s">
        <v>32</v>
      </c>
      <c r="C13" s="12" t="s">
        <v>207</v>
      </c>
      <c r="D13" s="12" t="s">
        <v>224</v>
      </c>
      <c r="E13" s="12" t="s">
        <v>152</v>
      </c>
      <c r="F13" s="13">
        <v>46261</v>
      </c>
      <c r="G13" s="13">
        <v>46262</v>
      </c>
      <c r="H13" s="12" t="s">
        <v>46</v>
      </c>
      <c r="I13" s="14">
        <v>100</v>
      </c>
      <c r="J13" s="12"/>
      <c r="K13" s="12" t="s">
        <v>154</v>
      </c>
      <c r="L13" s="12"/>
      <c r="M13" s="17" t="str">
        <f t="shared" ca="1" si="0"/>
        <v>Completed</v>
      </c>
    </row>
    <row r="14" spans="1:13" ht="42.75">
      <c r="A14" s="16" t="s">
        <v>210</v>
      </c>
      <c r="B14" s="12" t="s">
        <v>32</v>
      </c>
      <c r="C14" s="12" t="s">
        <v>225</v>
      </c>
      <c r="D14" s="12" t="s">
        <v>226</v>
      </c>
      <c r="E14" s="12" t="s">
        <v>151</v>
      </c>
      <c r="F14" s="13">
        <v>46260</v>
      </c>
      <c r="G14" s="13">
        <v>46265</v>
      </c>
      <c r="H14" s="12" t="s">
        <v>46</v>
      </c>
      <c r="I14" s="14">
        <v>100</v>
      </c>
      <c r="J14" s="12"/>
      <c r="K14" s="12" t="s">
        <v>154</v>
      </c>
      <c r="L14" s="12"/>
      <c r="M14" s="17" t="str">
        <f t="shared" ca="1" si="0"/>
        <v>Completed</v>
      </c>
    </row>
    <row r="15" spans="1:13" ht="42.75">
      <c r="A15" s="16" t="s">
        <v>212</v>
      </c>
      <c r="B15" s="12" t="s">
        <v>32</v>
      </c>
      <c r="C15" s="12" t="s">
        <v>211</v>
      </c>
      <c r="D15" s="12" t="s">
        <v>227</v>
      </c>
      <c r="E15" s="12" t="s">
        <v>152</v>
      </c>
      <c r="F15" s="13">
        <v>46265</v>
      </c>
      <c r="G15" s="13">
        <v>46265</v>
      </c>
      <c r="H15" s="12" t="s">
        <v>46</v>
      </c>
      <c r="I15" s="14">
        <v>100</v>
      </c>
      <c r="J15" s="12"/>
      <c r="K15" s="12" t="s">
        <v>154</v>
      </c>
      <c r="L15" s="12"/>
      <c r="M15" s="17" t="str">
        <f t="shared" ca="1" si="0"/>
        <v>Completed</v>
      </c>
    </row>
    <row r="16" spans="1:13" ht="28.5">
      <c r="A16" s="16" t="s">
        <v>228</v>
      </c>
      <c r="B16" s="12" t="s">
        <v>32</v>
      </c>
      <c r="C16" s="12" t="s">
        <v>229</v>
      </c>
      <c r="D16" s="12" t="s">
        <v>230</v>
      </c>
      <c r="E16" s="12" t="s">
        <v>165</v>
      </c>
      <c r="F16" s="13">
        <v>46265</v>
      </c>
      <c r="G16" s="13">
        <v>46269</v>
      </c>
      <c r="H16" s="12" t="s">
        <v>46</v>
      </c>
      <c r="I16" s="14">
        <v>100</v>
      </c>
      <c r="J16" s="12"/>
      <c r="K16" s="12" t="s">
        <v>154</v>
      </c>
      <c r="L16" s="12"/>
      <c r="M16" s="17" t="str">
        <f t="shared" ca="1" si="0"/>
        <v>Completed</v>
      </c>
    </row>
    <row r="17" spans="1:13" ht="42.75">
      <c r="A17" s="16" t="s">
        <v>348</v>
      </c>
      <c r="B17" s="12" t="s">
        <v>257</v>
      </c>
      <c r="C17" s="12" t="s">
        <v>255</v>
      </c>
      <c r="D17" s="12" t="s">
        <v>256</v>
      </c>
      <c r="E17" s="12" t="s">
        <v>152</v>
      </c>
      <c r="F17" s="13">
        <v>46272</v>
      </c>
      <c r="G17" s="13">
        <v>46274</v>
      </c>
      <c r="H17" s="12" t="s">
        <v>46</v>
      </c>
      <c r="I17" s="14">
        <v>100</v>
      </c>
      <c r="J17" s="12"/>
      <c r="K17" s="12" t="s">
        <v>154</v>
      </c>
      <c r="L17" s="12"/>
      <c r="M17" s="17" t="str">
        <f t="shared" ca="1" si="0"/>
        <v>Completed</v>
      </c>
    </row>
    <row r="18" spans="1:13" ht="28.5">
      <c r="A18" s="16" t="s">
        <v>349</v>
      </c>
      <c r="B18" s="12" t="s">
        <v>257</v>
      </c>
      <c r="C18" s="12" t="s">
        <v>258</v>
      </c>
      <c r="D18" s="12" t="s">
        <v>259</v>
      </c>
      <c r="E18" s="12" t="s">
        <v>153</v>
      </c>
      <c r="F18" s="13">
        <v>46275</v>
      </c>
      <c r="G18" s="13">
        <v>46279</v>
      </c>
      <c r="H18" s="12" t="s">
        <v>46</v>
      </c>
      <c r="I18" s="14">
        <v>100</v>
      </c>
      <c r="J18" s="12"/>
      <c r="K18" s="12" t="s">
        <v>154</v>
      </c>
      <c r="L18" s="12"/>
      <c r="M18" s="17" t="str">
        <f t="shared" ca="1" si="0"/>
        <v>Completed</v>
      </c>
    </row>
    <row r="19" spans="1:13" ht="28.5">
      <c r="A19" s="16" t="s">
        <v>350</v>
      </c>
      <c r="B19" s="12" t="s">
        <v>257</v>
      </c>
      <c r="C19" s="12" t="s">
        <v>260</v>
      </c>
      <c r="D19" s="12" t="s">
        <v>261</v>
      </c>
      <c r="E19" s="12" t="s">
        <v>262</v>
      </c>
      <c r="F19" s="13">
        <v>46274</v>
      </c>
      <c r="G19" s="13">
        <v>46279</v>
      </c>
      <c r="H19" s="12" t="s">
        <v>46</v>
      </c>
      <c r="I19" s="14">
        <v>100</v>
      </c>
      <c r="J19" s="12"/>
      <c r="K19" s="12" t="s">
        <v>154</v>
      </c>
      <c r="L19" s="12"/>
      <c r="M19" s="17" t="str">
        <f t="shared" ca="1" si="0"/>
        <v>Completed</v>
      </c>
    </row>
    <row r="20" spans="1:13" ht="42.75">
      <c r="A20" s="16" t="s">
        <v>351</v>
      </c>
      <c r="B20" s="12" t="s">
        <v>257</v>
      </c>
      <c r="C20" s="12" t="s">
        <v>263</v>
      </c>
      <c r="D20" s="12" t="s">
        <v>264</v>
      </c>
      <c r="E20" s="12" t="s">
        <v>151</v>
      </c>
      <c r="F20" s="13">
        <v>46272</v>
      </c>
      <c r="G20" s="13">
        <v>46280</v>
      </c>
      <c r="H20" s="12" t="s">
        <v>46</v>
      </c>
      <c r="I20" s="14">
        <v>100</v>
      </c>
      <c r="J20" s="12"/>
      <c r="K20" s="12" t="s">
        <v>154</v>
      </c>
      <c r="L20" s="12"/>
      <c r="M20" s="17" t="str">
        <f t="shared" ca="1" si="0"/>
        <v>Completed</v>
      </c>
    </row>
    <row r="21" spans="1:13" ht="28.5">
      <c r="A21" s="16" t="s">
        <v>352</v>
      </c>
      <c r="B21" s="12" t="s">
        <v>257</v>
      </c>
      <c r="C21" s="12" t="s">
        <v>265</v>
      </c>
      <c r="D21" s="12" t="s">
        <v>266</v>
      </c>
      <c r="E21" s="12" t="s">
        <v>361</v>
      </c>
      <c r="F21" s="13">
        <v>46277</v>
      </c>
      <c r="G21" s="13">
        <v>46281</v>
      </c>
      <c r="H21" s="12" t="s">
        <v>46</v>
      </c>
      <c r="I21" s="14">
        <v>100</v>
      </c>
      <c r="J21" s="12"/>
      <c r="K21" s="12" t="s">
        <v>154</v>
      </c>
      <c r="L21" s="12"/>
      <c r="M21" s="17" t="str">
        <f t="shared" ca="1" si="0"/>
        <v>Completed</v>
      </c>
    </row>
    <row r="22" spans="1:13" ht="28.5">
      <c r="A22" s="16" t="s">
        <v>371</v>
      </c>
      <c r="B22" s="12" t="s">
        <v>257</v>
      </c>
      <c r="C22" s="12" t="s">
        <v>267</v>
      </c>
      <c r="D22" s="12" t="s">
        <v>268</v>
      </c>
      <c r="E22" s="12" t="s">
        <v>361</v>
      </c>
      <c r="F22" s="13">
        <v>46281</v>
      </c>
      <c r="G22" s="13">
        <v>46285</v>
      </c>
      <c r="H22" s="12" t="s">
        <v>46</v>
      </c>
      <c r="I22" s="14">
        <v>100</v>
      </c>
      <c r="J22" s="12"/>
      <c r="K22" s="12" t="s">
        <v>154</v>
      </c>
      <c r="L22" s="12"/>
      <c r="M22" s="17" t="str">
        <f t="shared" ca="1" si="0"/>
        <v>Completed</v>
      </c>
    </row>
    <row r="23" spans="1:13" ht="28.5">
      <c r="A23" s="16" t="s">
        <v>353</v>
      </c>
      <c r="B23" s="12" t="s">
        <v>257</v>
      </c>
      <c r="C23" s="12" t="s">
        <v>269</v>
      </c>
      <c r="D23" s="12" t="s">
        <v>270</v>
      </c>
      <c r="E23" s="12" t="s">
        <v>187</v>
      </c>
      <c r="F23" s="13">
        <v>46279</v>
      </c>
      <c r="G23" s="13">
        <v>46281</v>
      </c>
      <c r="H23" s="12" t="s">
        <v>46</v>
      </c>
      <c r="I23" s="14">
        <v>100</v>
      </c>
      <c r="J23" s="12"/>
      <c r="K23" s="12" t="s">
        <v>154</v>
      </c>
      <c r="L23" s="12"/>
      <c r="M23" s="17" t="str">
        <f t="shared" ca="1" si="0"/>
        <v>Completed</v>
      </c>
    </row>
    <row r="24" spans="1:13">
      <c r="A24" s="16" t="s">
        <v>354</v>
      </c>
      <c r="B24" s="12" t="s">
        <v>257</v>
      </c>
      <c r="C24" s="12" t="s">
        <v>271</v>
      </c>
      <c r="D24" s="12" t="s">
        <v>272</v>
      </c>
      <c r="E24" s="12" t="s">
        <v>152</v>
      </c>
      <c r="F24" s="13">
        <v>46279</v>
      </c>
      <c r="G24" s="13">
        <v>46279</v>
      </c>
      <c r="H24" s="12" t="s">
        <v>46</v>
      </c>
      <c r="I24" s="14">
        <v>100</v>
      </c>
      <c r="J24" s="12"/>
      <c r="K24" s="12" t="s">
        <v>154</v>
      </c>
      <c r="L24" s="12"/>
      <c r="M24" s="17" t="str">
        <f t="shared" ca="1" si="0"/>
        <v>Completed</v>
      </c>
    </row>
    <row r="25" spans="1:13">
      <c r="A25" s="16" t="s">
        <v>355</v>
      </c>
      <c r="B25" s="12" t="s">
        <v>257</v>
      </c>
      <c r="C25" s="12" t="s">
        <v>273</v>
      </c>
      <c r="D25" s="12" t="s">
        <v>274</v>
      </c>
      <c r="E25" s="12" t="s">
        <v>153</v>
      </c>
      <c r="F25" s="13">
        <v>46282</v>
      </c>
      <c r="G25" s="13">
        <v>46283</v>
      </c>
      <c r="H25" s="12" t="s">
        <v>46</v>
      </c>
      <c r="I25" s="14">
        <v>100</v>
      </c>
      <c r="J25" s="12"/>
      <c r="K25" s="12" t="s">
        <v>154</v>
      </c>
      <c r="L25" s="12"/>
      <c r="M25" s="17" t="str">
        <f t="shared" ca="1" si="0"/>
        <v>Completed</v>
      </c>
    </row>
    <row r="26" spans="1:13" ht="28.5">
      <c r="A26" s="16" t="s">
        <v>356</v>
      </c>
      <c r="B26" s="12" t="s">
        <v>257</v>
      </c>
      <c r="C26" s="12" t="s">
        <v>275</v>
      </c>
      <c r="D26" s="12" t="s">
        <v>276</v>
      </c>
      <c r="E26" s="12" t="s">
        <v>362</v>
      </c>
      <c r="F26" s="13">
        <v>46279</v>
      </c>
      <c r="G26" s="13">
        <v>46282</v>
      </c>
      <c r="H26" s="12" t="s">
        <v>46</v>
      </c>
      <c r="I26" s="14">
        <v>100</v>
      </c>
      <c r="J26" s="12"/>
      <c r="K26" s="12" t="s">
        <v>154</v>
      </c>
      <c r="L26" s="12"/>
      <c r="M26" s="17" t="str">
        <f t="shared" ca="1" si="0"/>
        <v>Completed</v>
      </c>
    </row>
    <row r="27" spans="1:13">
      <c r="A27" s="16" t="s">
        <v>357</v>
      </c>
      <c r="B27" s="12" t="s">
        <v>257</v>
      </c>
      <c r="C27" s="12" t="s">
        <v>277</v>
      </c>
      <c r="D27" s="12" t="s">
        <v>278</v>
      </c>
      <c r="E27" s="12" t="s">
        <v>151</v>
      </c>
      <c r="F27" s="13">
        <v>46272</v>
      </c>
      <c r="G27" s="13">
        <v>46287</v>
      </c>
      <c r="H27" s="12" t="s">
        <v>46</v>
      </c>
      <c r="I27" s="14">
        <v>100</v>
      </c>
      <c r="J27" s="12"/>
      <c r="K27" s="12" t="s">
        <v>154</v>
      </c>
      <c r="L27" s="12"/>
      <c r="M27" s="17" t="str">
        <f t="shared" ca="1" si="0"/>
        <v>Completed</v>
      </c>
    </row>
    <row r="28" spans="1:13" ht="28.5">
      <c r="A28" s="16" t="s">
        <v>358</v>
      </c>
      <c r="B28" s="12" t="s">
        <v>308</v>
      </c>
      <c r="C28" s="12" t="s">
        <v>364</v>
      </c>
      <c r="D28" s="12" t="s">
        <v>365</v>
      </c>
      <c r="E28" s="12" t="s">
        <v>152</v>
      </c>
      <c r="F28" s="13">
        <v>46297</v>
      </c>
      <c r="G28" s="13">
        <v>46318</v>
      </c>
      <c r="H28" s="12" t="s">
        <v>46</v>
      </c>
      <c r="I28" s="14">
        <v>100</v>
      </c>
      <c r="J28" s="12"/>
      <c r="K28" s="12" t="s">
        <v>154</v>
      </c>
      <c r="L28" s="12"/>
      <c r="M28" s="17" t="str">
        <f t="shared" ref="M28:M55" ca="1" si="1">IF(D28="","",IF(H28="Completed","Completed",IF(H28="Blocked","Blocked",IF(H28="Delayed","Delayed",IF(AND(G28&lt;&gt;"",G28&lt;TODAY(),H28&lt;&gt;"Completed"),"Overdue","On Track")))))</f>
        <v>Completed</v>
      </c>
    </row>
    <row r="29" spans="1:13" ht="28.5">
      <c r="A29" s="16" t="s">
        <v>359</v>
      </c>
      <c r="B29" s="12" t="s">
        <v>308</v>
      </c>
      <c r="C29" s="12" t="s">
        <v>366</v>
      </c>
      <c r="D29" s="12" t="s">
        <v>367</v>
      </c>
      <c r="E29" s="12" t="s">
        <v>320</v>
      </c>
      <c r="F29" s="13">
        <v>46297</v>
      </c>
      <c r="G29" s="13">
        <v>46318</v>
      </c>
      <c r="H29" s="12" t="s">
        <v>46</v>
      </c>
      <c r="I29" s="14">
        <v>100</v>
      </c>
      <c r="J29" s="12"/>
      <c r="K29" s="12" t="s">
        <v>154</v>
      </c>
      <c r="L29" s="12"/>
      <c r="M29" s="17" t="str">
        <f t="shared" ca="1" si="1"/>
        <v>Completed</v>
      </c>
    </row>
    <row r="30" spans="1:13">
      <c r="A30" s="16" t="s">
        <v>360</v>
      </c>
      <c r="B30" s="12" t="s">
        <v>308</v>
      </c>
      <c r="C30" s="12" t="s">
        <v>273</v>
      </c>
      <c r="D30" s="12" t="s">
        <v>368</v>
      </c>
      <c r="E30" s="12" t="s">
        <v>153</v>
      </c>
      <c r="F30" s="13">
        <v>46297</v>
      </c>
      <c r="G30" s="13">
        <v>46318</v>
      </c>
      <c r="H30" s="12" t="s">
        <v>46</v>
      </c>
      <c r="I30" s="14">
        <v>100</v>
      </c>
      <c r="J30" s="12"/>
      <c r="K30" s="12" t="s">
        <v>154</v>
      </c>
      <c r="L30" s="12"/>
      <c r="M30" s="17" t="str">
        <f t="shared" ca="1" si="1"/>
        <v>Completed</v>
      </c>
    </row>
    <row r="31" spans="1:13">
      <c r="A31" s="16" t="s">
        <v>363</v>
      </c>
      <c r="B31" s="12" t="s">
        <v>308</v>
      </c>
      <c r="C31" s="12" t="s">
        <v>369</v>
      </c>
      <c r="D31" s="12" t="s">
        <v>370</v>
      </c>
      <c r="E31" s="12" t="s">
        <v>151</v>
      </c>
      <c r="F31" s="13">
        <v>46297</v>
      </c>
      <c r="G31" s="13">
        <v>46320</v>
      </c>
      <c r="H31" s="12" t="s">
        <v>46</v>
      </c>
      <c r="I31" s="14">
        <v>100</v>
      </c>
      <c r="J31" s="12"/>
      <c r="K31" s="12" t="s">
        <v>154</v>
      </c>
      <c r="L31" s="12"/>
      <c r="M31" s="17" t="str">
        <f t="shared" ca="1" si="1"/>
        <v>Completed</v>
      </c>
    </row>
    <row r="32" spans="1:13" ht="42.75">
      <c r="A32" s="16" t="s">
        <v>372</v>
      </c>
      <c r="B32" s="12" t="s">
        <v>308</v>
      </c>
      <c r="C32" s="12" t="s">
        <v>373</v>
      </c>
      <c r="D32" s="12" t="s">
        <v>381</v>
      </c>
      <c r="E32" s="12" t="s">
        <v>151</v>
      </c>
      <c r="F32" s="40">
        <v>46297</v>
      </c>
      <c r="G32" s="40">
        <v>46301</v>
      </c>
      <c r="H32" s="12" t="s">
        <v>46</v>
      </c>
      <c r="I32" s="14">
        <v>100</v>
      </c>
      <c r="J32" s="12"/>
      <c r="K32" s="12" t="s">
        <v>154</v>
      </c>
      <c r="L32" s="12"/>
      <c r="M32" s="17" t="str">
        <f t="shared" ca="1" si="1"/>
        <v>Completed</v>
      </c>
    </row>
    <row r="33" spans="1:13" ht="28.5">
      <c r="A33" s="16" t="s">
        <v>374</v>
      </c>
      <c r="B33" s="12" t="s">
        <v>308</v>
      </c>
      <c r="C33" t="s">
        <v>377</v>
      </c>
      <c r="D33" s="12" t="s">
        <v>375</v>
      </c>
      <c r="E33" s="12" t="s">
        <v>376</v>
      </c>
      <c r="F33" s="13">
        <v>46301</v>
      </c>
      <c r="G33" s="13">
        <v>46307</v>
      </c>
      <c r="H33" s="12" t="s">
        <v>46</v>
      </c>
      <c r="I33" s="14">
        <v>100</v>
      </c>
      <c r="J33" s="12"/>
      <c r="K33" s="12" t="s">
        <v>154</v>
      </c>
      <c r="L33" s="12"/>
      <c r="M33" s="17" t="str">
        <f t="shared" ca="1" si="1"/>
        <v>Completed</v>
      </c>
    </row>
    <row r="34" spans="1:13" ht="42.75">
      <c r="A34" s="16" t="s">
        <v>378</v>
      </c>
      <c r="B34" s="12" t="s">
        <v>308</v>
      </c>
      <c r="C34" s="12" t="s">
        <v>379</v>
      </c>
      <c r="D34" s="12" t="s">
        <v>380</v>
      </c>
      <c r="E34" s="12" t="s">
        <v>376</v>
      </c>
      <c r="F34" s="13">
        <v>46307</v>
      </c>
      <c r="G34" s="13">
        <v>46311</v>
      </c>
      <c r="H34" s="12" t="s">
        <v>46</v>
      </c>
      <c r="I34" s="14">
        <v>100</v>
      </c>
      <c r="J34" s="12"/>
      <c r="K34" s="12" t="s">
        <v>154</v>
      </c>
      <c r="L34" s="12"/>
      <c r="M34" s="17" t="str">
        <f t="shared" ca="1" si="1"/>
        <v>Completed</v>
      </c>
    </row>
    <row r="35" spans="1:13" ht="42.75">
      <c r="A35" s="16" t="s">
        <v>382</v>
      </c>
      <c r="B35" s="12" t="s">
        <v>308</v>
      </c>
      <c r="C35" s="12" t="s">
        <v>383</v>
      </c>
      <c r="D35" s="12" t="s">
        <v>384</v>
      </c>
      <c r="E35" s="12" t="s">
        <v>376</v>
      </c>
      <c r="F35" s="13">
        <v>46308</v>
      </c>
      <c r="G35" s="13">
        <v>46312</v>
      </c>
      <c r="H35" s="12" t="s">
        <v>46</v>
      </c>
      <c r="I35" s="14">
        <v>100</v>
      </c>
      <c r="J35" s="12"/>
      <c r="K35" s="12" t="s">
        <v>154</v>
      </c>
      <c r="L35" s="12"/>
      <c r="M35" s="17" t="str">
        <f t="shared" ca="1" si="1"/>
        <v>Completed</v>
      </c>
    </row>
    <row r="36" spans="1:13" ht="42.75">
      <c r="A36" s="16" t="s">
        <v>385</v>
      </c>
      <c r="B36" s="12" t="s">
        <v>308</v>
      </c>
      <c r="C36" s="12" t="s">
        <v>386</v>
      </c>
      <c r="D36" s="12" t="s">
        <v>387</v>
      </c>
      <c r="E36" s="12" t="s">
        <v>388</v>
      </c>
      <c r="F36" s="13">
        <v>46307</v>
      </c>
      <c r="G36" s="13">
        <v>46321</v>
      </c>
      <c r="H36" s="12" t="s">
        <v>46</v>
      </c>
      <c r="I36" s="14">
        <v>100</v>
      </c>
      <c r="J36" s="12"/>
      <c r="K36" s="12" t="s">
        <v>154</v>
      </c>
      <c r="L36" s="12"/>
      <c r="M36" s="17" t="str">
        <f t="shared" ca="1" si="1"/>
        <v>Completed</v>
      </c>
    </row>
    <row r="37" spans="1:13" ht="42.75">
      <c r="A37" s="16" t="s">
        <v>390</v>
      </c>
      <c r="B37" s="12" t="s">
        <v>308</v>
      </c>
      <c r="C37" s="12" t="s">
        <v>386</v>
      </c>
      <c r="D37" s="12" t="s">
        <v>389</v>
      </c>
      <c r="E37" s="12" t="s">
        <v>388</v>
      </c>
      <c r="F37" s="13">
        <v>46308</v>
      </c>
      <c r="G37" s="13">
        <v>46310</v>
      </c>
      <c r="H37" s="12" t="s">
        <v>46</v>
      </c>
      <c r="I37" s="14">
        <v>100</v>
      </c>
      <c r="J37" s="12"/>
      <c r="K37" s="12" t="s">
        <v>154</v>
      </c>
      <c r="L37" s="12"/>
      <c r="M37" s="17" t="str">
        <f t="shared" ca="1" si="1"/>
        <v>Completed</v>
      </c>
    </row>
    <row r="38" spans="1:13" ht="42.75">
      <c r="A38" s="16" t="s">
        <v>391</v>
      </c>
      <c r="B38" s="12" t="s">
        <v>308</v>
      </c>
      <c r="C38" s="12" t="s">
        <v>392</v>
      </c>
      <c r="D38" s="12" t="s">
        <v>393</v>
      </c>
      <c r="E38" s="12" t="s">
        <v>150</v>
      </c>
      <c r="F38" s="13">
        <v>46307</v>
      </c>
      <c r="G38" s="13">
        <v>46311</v>
      </c>
      <c r="H38" s="12" t="s">
        <v>46</v>
      </c>
      <c r="I38" s="14">
        <v>100</v>
      </c>
      <c r="J38" s="12"/>
      <c r="K38" s="12" t="s">
        <v>154</v>
      </c>
      <c r="L38" s="12"/>
      <c r="M38" s="17" t="str">
        <f t="shared" ca="1" si="1"/>
        <v>Completed</v>
      </c>
    </row>
    <row r="39" spans="1:13" ht="42.75">
      <c r="A39" s="16" t="s">
        <v>394</v>
      </c>
      <c r="B39" s="12" t="s">
        <v>308</v>
      </c>
      <c r="C39" s="12" t="s">
        <v>404</v>
      </c>
      <c r="D39" s="12" t="s">
        <v>405</v>
      </c>
      <c r="E39" s="12" t="s">
        <v>388</v>
      </c>
      <c r="F39" s="13">
        <v>46308</v>
      </c>
      <c r="G39" s="13">
        <v>46311</v>
      </c>
      <c r="H39" s="12" t="s">
        <v>46</v>
      </c>
      <c r="I39" s="14">
        <v>100</v>
      </c>
      <c r="J39" s="12"/>
      <c r="K39" s="12" t="s">
        <v>154</v>
      </c>
      <c r="L39" s="12"/>
      <c r="M39" s="17" t="str">
        <f t="shared" ca="1" si="1"/>
        <v>Completed</v>
      </c>
    </row>
    <row r="40" spans="1:13" ht="28.5">
      <c r="A40" s="16" t="s">
        <v>395</v>
      </c>
      <c r="B40" s="12" t="s">
        <v>308</v>
      </c>
      <c r="C40" s="12" t="s">
        <v>313</v>
      </c>
      <c r="D40" s="12" t="s">
        <v>406</v>
      </c>
      <c r="E40" s="12" t="s">
        <v>407</v>
      </c>
      <c r="F40" s="13">
        <v>46308</v>
      </c>
      <c r="G40" s="13">
        <v>46313</v>
      </c>
      <c r="H40" s="12" t="s">
        <v>46</v>
      </c>
      <c r="I40" s="14">
        <v>100</v>
      </c>
      <c r="J40" s="12"/>
      <c r="K40" s="12" t="s">
        <v>154</v>
      </c>
      <c r="L40" s="12"/>
      <c r="M40" s="17" t="str">
        <f t="shared" ca="1" si="1"/>
        <v>Completed</v>
      </c>
    </row>
    <row r="41" spans="1:13" ht="42.75">
      <c r="A41" s="16" t="s">
        <v>396</v>
      </c>
      <c r="B41" s="12" t="s">
        <v>308</v>
      </c>
      <c r="C41" s="12" t="s">
        <v>314</v>
      </c>
      <c r="D41" s="12" t="s">
        <v>408</v>
      </c>
      <c r="E41" s="12" t="s">
        <v>409</v>
      </c>
      <c r="F41" s="13">
        <v>46308</v>
      </c>
      <c r="G41" s="13">
        <v>46313</v>
      </c>
      <c r="H41" s="12" t="s">
        <v>46</v>
      </c>
      <c r="I41" s="14">
        <v>100</v>
      </c>
      <c r="J41" s="12"/>
      <c r="K41" s="12" t="s">
        <v>154</v>
      </c>
      <c r="L41" s="12"/>
      <c r="M41" s="17" t="str">
        <f t="shared" ca="1" si="1"/>
        <v>Completed</v>
      </c>
    </row>
    <row r="42" spans="1:13" ht="42.75">
      <c r="A42" s="16" t="s">
        <v>397</v>
      </c>
      <c r="B42" s="12" t="s">
        <v>308</v>
      </c>
      <c r="C42" s="12" t="s">
        <v>315</v>
      </c>
      <c r="D42" s="12" t="s">
        <v>410</v>
      </c>
      <c r="E42" s="12" t="s">
        <v>151</v>
      </c>
      <c r="F42" s="13">
        <v>46314</v>
      </c>
      <c r="G42" s="13">
        <v>46314</v>
      </c>
      <c r="H42" s="12" t="s">
        <v>46</v>
      </c>
      <c r="I42" s="14">
        <v>100</v>
      </c>
      <c r="J42" s="12"/>
      <c r="K42" s="12" t="s">
        <v>154</v>
      </c>
      <c r="L42" s="12"/>
      <c r="M42" s="17" t="str">
        <f t="shared" ca="1" si="1"/>
        <v>Completed</v>
      </c>
    </row>
    <row r="43" spans="1:13" ht="42.75">
      <c r="A43" s="16" t="s">
        <v>398</v>
      </c>
      <c r="B43" s="12" t="s">
        <v>308</v>
      </c>
      <c r="C43" s="12" t="s">
        <v>411</v>
      </c>
      <c r="D43" s="12" t="s">
        <v>412</v>
      </c>
      <c r="E43" s="12" t="s">
        <v>165</v>
      </c>
      <c r="F43" s="13">
        <v>46314</v>
      </c>
      <c r="G43" s="13">
        <v>46316</v>
      </c>
      <c r="H43" s="12" t="s">
        <v>46</v>
      </c>
      <c r="I43" s="14">
        <v>100</v>
      </c>
      <c r="J43" s="12"/>
      <c r="K43" s="12" t="s">
        <v>154</v>
      </c>
      <c r="L43" s="12"/>
      <c r="M43" s="17" t="str">
        <f t="shared" ca="1" si="1"/>
        <v>Completed</v>
      </c>
    </row>
    <row r="44" spans="1:13" ht="42.75">
      <c r="A44" s="16" t="s">
        <v>399</v>
      </c>
      <c r="B44" s="12" t="s">
        <v>308</v>
      </c>
      <c r="C44" s="12" t="s">
        <v>316</v>
      </c>
      <c r="D44" s="12" t="s">
        <v>413</v>
      </c>
      <c r="E44" s="12" t="s">
        <v>165</v>
      </c>
      <c r="F44" s="13">
        <v>46314</v>
      </c>
      <c r="G44" s="13">
        <v>46318</v>
      </c>
      <c r="H44" s="12" t="s">
        <v>46</v>
      </c>
      <c r="I44" s="14">
        <v>100</v>
      </c>
      <c r="J44" s="12"/>
      <c r="K44" s="12" t="s">
        <v>154</v>
      </c>
      <c r="L44" s="12"/>
      <c r="M44" s="17" t="str">
        <f t="shared" ca="1" si="1"/>
        <v>Completed</v>
      </c>
    </row>
    <row r="45" spans="1:13" ht="28.5">
      <c r="A45" s="16" t="s">
        <v>400</v>
      </c>
      <c r="B45" s="12" t="s">
        <v>308</v>
      </c>
      <c r="C45" s="12" t="s">
        <v>414</v>
      </c>
      <c r="D45" s="12" t="s">
        <v>415</v>
      </c>
      <c r="E45" s="12" t="s">
        <v>165</v>
      </c>
      <c r="F45" s="13">
        <v>46315</v>
      </c>
      <c r="G45" s="13">
        <v>46318</v>
      </c>
      <c r="H45" s="12" t="s">
        <v>46</v>
      </c>
      <c r="I45" s="14">
        <v>100</v>
      </c>
      <c r="J45" s="12"/>
      <c r="K45" s="12" t="s">
        <v>154</v>
      </c>
      <c r="L45" s="12"/>
      <c r="M45" s="17" t="str">
        <f t="shared" ca="1" si="1"/>
        <v>Completed</v>
      </c>
    </row>
    <row r="46" spans="1:13" ht="57">
      <c r="A46" s="16" t="s">
        <v>401</v>
      </c>
      <c r="B46" s="12" t="s">
        <v>308</v>
      </c>
      <c r="C46" s="12" t="s">
        <v>416</v>
      </c>
      <c r="D46" s="12" t="s">
        <v>417</v>
      </c>
      <c r="E46" s="12" t="s">
        <v>187</v>
      </c>
      <c r="F46" s="13">
        <v>46318</v>
      </c>
      <c r="G46" s="13">
        <v>46320</v>
      </c>
      <c r="H46" s="12" t="s">
        <v>46</v>
      </c>
      <c r="I46" s="14">
        <v>100</v>
      </c>
      <c r="J46" s="12"/>
      <c r="K46" s="12" t="s">
        <v>154</v>
      </c>
      <c r="L46" s="12"/>
      <c r="M46" s="17" t="str">
        <f t="shared" ca="1" si="1"/>
        <v>Completed</v>
      </c>
    </row>
    <row r="47" spans="1:13" ht="71.25">
      <c r="A47" s="16" t="s">
        <v>402</v>
      </c>
      <c r="B47" s="12" t="s">
        <v>308</v>
      </c>
      <c r="C47" s="12" t="s">
        <v>418</v>
      </c>
      <c r="D47" s="12" t="s">
        <v>419</v>
      </c>
      <c r="E47" s="12" t="s">
        <v>153</v>
      </c>
      <c r="F47" s="13">
        <v>46314</v>
      </c>
      <c r="G47" s="13">
        <v>46318</v>
      </c>
      <c r="H47" s="12" t="s">
        <v>46</v>
      </c>
      <c r="I47" s="14">
        <v>100</v>
      </c>
      <c r="J47" s="12"/>
      <c r="K47" s="12" t="s">
        <v>154</v>
      </c>
      <c r="L47" s="12"/>
      <c r="M47" s="17" t="str">
        <f t="shared" ca="1" si="1"/>
        <v>Completed</v>
      </c>
    </row>
    <row r="48" spans="1:13" ht="57">
      <c r="A48" s="16" t="s">
        <v>403</v>
      </c>
      <c r="B48" s="12" t="s">
        <v>308</v>
      </c>
      <c r="C48" s="12" t="s">
        <v>420</v>
      </c>
      <c r="D48" s="12" t="s">
        <v>421</v>
      </c>
      <c r="E48" s="12" t="s">
        <v>165</v>
      </c>
      <c r="F48" s="13">
        <v>46321</v>
      </c>
      <c r="G48" s="13">
        <v>46323</v>
      </c>
      <c r="H48" s="12" t="s">
        <v>46</v>
      </c>
      <c r="I48" s="14">
        <v>100</v>
      </c>
      <c r="J48" s="12"/>
      <c r="K48" s="12" t="s">
        <v>154</v>
      </c>
      <c r="L48" s="12"/>
      <c r="M48" s="17" t="str">
        <f t="shared" ca="1" si="1"/>
        <v>Completed</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ref="M56:M90" ca="1" si="2">IF(D56="","",IF(H56="Completed","Completed",IF(H56="Blocked","Blocked",IF(H56="Delayed","Delayed",IF(AND(G56&lt;&gt;"",G56&lt;TODAY(),H56&lt;&gt;"Completed"),"Overdue","On Track")))))</f>
        <v/>
      </c>
    </row>
    <row r="57" spans="1:13">
      <c r="A57" s="16"/>
      <c r="B57" s="12"/>
      <c r="C57" s="12"/>
      <c r="D57" s="12"/>
      <c r="E57" s="12"/>
      <c r="F57" s="13"/>
      <c r="G57" s="13"/>
      <c r="H57" s="12"/>
      <c r="I57" s="14"/>
      <c r="J57" s="12"/>
      <c r="K57" s="12"/>
      <c r="L57" s="12"/>
      <c r="M57" s="17" t="str">
        <f t="shared" ca="1" si="2"/>
        <v/>
      </c>
    </row>
    <row r="58" spans="1:13">
      <c r="A58" s="16"/>
      <c r="B58" s="12"/>
      <c r="C58" s="12"/>
      <c r="D58" s="12"/>
      <c r="E58" s="12"/>
      <c r="F58" s="13"/>
      <c r="G58" s="13"/>
      <c r="H58" s="12"/>
      <c r="I58" s="14"/>
      <c r="J58" s="12"/>
      <c r="K58" s="12"/>
      <c r="L58" s="12"/>
      <c r="M58" s="17" t="str">
        <f t="shared" ca="1" si="2"/>
        <v/>
      </c>
    </row>
    <row r="59" spans="1:13">
      <c r="A59" s="16"/>
      <c r="B59" s="12"/>
      <c r="C59" s="12"/>
      <c r="D59" s="12"/>
      <c r="E59" s="12"/>
      <c r="F59" s="13"/>
      <c r="G59" s="13"/>
      <c r="H59" s="12"/>
      <c r="I59" s="14"/>
      <c r="J59" s="12"/>
      <c r="K59" s="12"/>
      <c r="L59" s="12"/>
      <c r="M59" s="17" t="str">
        <f t="shared" ca="1" si="2"/>
        <v/>
      </c>
    </row>
    <row r="60" spans="1:13">
      <c r="A60" s="16"/>
      <c r="B60" s="12"/>
      <c r="C60" s="12"/>
      <c r="D60" s="12"/>
      <c r="E60" s="12"/>
      <c r="F60" s="13"/>
      <c r="G60" s="13"/>
      <c r="H60" s="12"/>
      <c r="I60" s="14"/>
      <c r="J60" s="12"/>
      <c r="K60" s="12"/>
      <c r="L60" s="12"/>
      <c r="M60" s="17" t="str">
        <f t="shared" ca="1" si="2"/>
        <v/>
      </c>
    </row>
    <row r="61" spans="1:13">
      <c r="A61" s="16"/>
      <c r="B61" s="12"/>
      <c r="C61" s="12"/>
      <c r="D61" s="12"/>
      <c r="E61" s="12"/>
      <c r="F61" s="13"/>
      <c r="G61" s="13"/>
      <c r="H61" s="12"/>
      <c r="I61" s="14"/>
      <c r="J61" s="12"/>
      <c r="K61" s="12"/>
      <c r="L61" s="12"/>
      <c r="M61" s="17" t="str">
        <f t="shared" ca="1" si="2"/>
        <v/>
      </c>
    </row>
    <row r="62" spans="1:13">
      <c r="A62" s="16"/>
      <c r="B62" s="12"/>
      <c r="C62" s="12"/>
      <c r="D62" s="12"/>
      <c r="E62" s="12"/>
      <c r="F62" s="13"/>
      <c r="G62" s="13"/>
      <c r="H62" s="12"/>
      <c r="I62" s="14"/>
      <c r="J62" s="12"/>
      <c r="K62" s="12"/>
      <c r="L62" s="12"/>
      <c r="M62" s="17" t="str">
        <f t="shared" ca="1" si="2"/>
        <v/>
      </c>
    </row>
    <row r="63" spans="1:13">
      <c r="A63" s="16"/>
      <c r="B63" s="12"/>
      <c r="C63" s="12"/>
      <c r="D63" s="12"/>
      <c r="E63" s="12"/>
      <c r="F63" s="13"/>
      <c r="G63" s="13"/>
      <c r="H63" s="12"/>
      <c r="I63" s="14"/>
      <c r="J63" s="12"/>
      <c r="K63" s="12"/>
      <c r="L63" s="12"/>
      <c r="M63" s="17" t="str">
        <f t="shared" ca="1" si="2"/>
        <v/>
      </c>
    </row>
    <row r="64" spans="1:13">
      <c r="A64" s="16"/>
      <c r="B64" s="12"/>
      <c r="C64" s="12"/>
      <c r="D64" s="12"/>
      <c r="E64" s="12"/>
      <c r="F64" s="13"/>
      <c r="G64" s="13"/>
      <c r="H64" s="12"/>
      <c r="I64" s="14"/>
      <c r="J64" s="12"/>
      <c r="K64" s="12"/>
      <c r="L64" s="12"/>
      <c r="M64" s="17" t="str">
        <f t="shared" ca="1" si="2"/>
        <v/>
      </c>
    </row>
    <row r="65" spans="1:13">
      <c r="A65" s="16"/>
      <c r="B65" s="12"/>
      <c r="C65" s="12"/>
      <c r="D65" s="12"/>
      <c r="E65" s="12"/>
      <c r="F65" s="13"/>
      <c r="G65" s="13"/>
      <c r="H65" s="12"/>
      <c r="I65" s="14"/>
      <c r="J65" s="12"/>
      <c r="K65" s="12"/>
      <c r="L65" s="12"/>
      <c r="M65" s="17" t="str">
        <f t="shared" ca="1" si="2"/>
        <v/>
      </c>
    </row>
    <row r="66" spans="1:13">
      <c r="A66" s="16"/>
      <c r="B66" s="12"/>
      <c r="C66" s="12"/>
      <c r="D66" s="12"/>
      <c r="E66" s="12"/>
      <c r="F66" s="13"/>
      <c r="G66" s="13"/>
      <c r="H66" s="12"/>
      <c r="I66" s="14"/>
      <c r="J66" s="12"/>
      <c r="K66" s="12"/>
      <c r="L66" s="12"/>
      <c r="M66" s="17" t="str">
        <f t="shared" ca="1" si="2"/>
        <v/>
      </c>
    </row>
    <row r="67" spans="1:13">
      <c r="A67" s="16"/>
      <c r="B67" s="12"/>
      <c r="C67" s="12"/>
      <c r="D67" s="12"/>
      <c r="E67" s="12"/>
      <c r="F67" s="13"/>
      <c r="G67" s="13"/>
      <c r="H67" s="12"/>
      <c r="I67" s="14"/>
      <c r="J67" s="12"/>
      <c r="K67" s="12"/>
      <c r="L67" s="12"/>
      <c r="M67" s="17" t="str">
        <f t="shared" ca="1" si="2"/>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8"/>
      <c r="B90" s="19"/>
      <c r="C90" s="19"/>
      <c r="D90" s="19"/>
      <c r="E90" s="12"/>
      <c r="F90" s="20"/>
      <c r="G90" s="20"/>
      <c r="H90" s="19"/>
      <c r="I90" s="21"/>
      <c r="J90" s="19"/>
      <c r="K90" s="19"/>
      <c r="L90" s="19"/>
      <c r="M90" s="22" t="str">
        <f t="shared" ca="1" si="2"/>
        <v/>
      </c>
    </row>
  </sheetData>
  <mergeCells count="1">
    <mergeCell ref="A1:M1"/>
  </mergeCells>
  <conditionalFormatting sqref="H3:H90">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90">
    <cfRule type="expression" dxfId="7" priority="5">
      <formula>M3="Overdue"</formula>
    </cfRule>
  </conditionalFormatting>
  <conditionalFormatting sqref="I3:I90">
    <cfRule type="dataBar" priority="136">
      <dataBar>
        <cfvo type="min"/>
        <cfvo type="max"/>
        <color rgb="FF1F5A94"/>
      </dataBar>
    </cfRule>
    <cfRule type="dataBar" priority="137">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90" xr:uid="{00000000-0002-0000-0200-000000000000}">
      <formula1>"Unit 1 / Phase 1,Phase 2,Phase 3,Final"</formula1>
    </dataValidation>
    <dataValidation type="list" sqref="H3:H90" xr:uid="{00000000-0002-0000-0200-000001000000}">
      <formula1>"Not Started,In Progress,Completed,Delayed,Blocked"</formula1>
    </dataValidation>
    <dataValidation type="list" sqref="I3:I90" xr:uid="{00000000-0002-0000-0200-000002000000}">
      <formula1>"0,25,50,75,100"</formula1>
    </dataValidation>
    <dataValidation type="list" sqref="K3:K90"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I3:I90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abSelected="1" topLeftCell="G18" zoomScale="95" zoomScaleNormal="70" workbookViewId="0">
      <selection activeCell="G19" sqref="G19"/>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0" t="s">
        <v>82</v>
      </c>
      <c r="B1" s="30"/>
      <c r="C1" s="30"/>
      <c r="D1" s="30"/>
      <c r="E1" s="30"/>
      <c r="F1" s="30"/>
      <c r="G1" s="30"/>
      <c r="H1" s="30"/>
      <c r="I1" s="30"/>
      <c r="J1" s="30"/>
      <c r="K1" s="30"/>
      <c r="L1" s="30"/>
    </row>
    <row r="2" spans="1:12" ht="30">
      <c r="A2" s="1" t="s">
        <v>83</v>
      </c>
      <c r="B2" s="15" t="s">
        <v>84</v>
      </c>
      <c r="C2" s="15" t="s">
        <v>69</v>
      </c>
      <c r="D2" s="15" t="s">
        <v>70</v>
      </c>
      <c r="E2" s="15" t="s">
        <v>85</v>
      </c>
      <c r="F2" s="15" t="s">
        <v>86</v>
      </c>
      <c r="G2" s="15" t="s">
        <v>87</v>
      </c>
      <c r="H2" s="15" t="s">
        <v>88</v>
      </c>
      <c r="I2" s="15" t="s">
        <v>77</v>
      </c>
      <c r="J2" s="15" t="s">
        <v>78</v>
      </c>
      <c r="K2" s="15" t="s">
        <v>89</v>
      </c>
      <c r="L2" s="2" t="s">
        <v>90</v>
      </c>
    </row>
    <row r="3" spans="1:12" ht="42.75">
      <c r="A3" s="16" t="s">
        <v>151</v>
      </c>
      <c r="B3" s="12">
        <v>222018199</v>
      </c>
      <c r="C3" s="12" t="s">
        <v>32</v>
      </c>
      <c r="D3" s="12" t="s">
        <v>167</v>
      </c>
      <c r="E3" s="12" t="s">
        <v>168</v>
      </c>
      <c r="F3" s="12" t="s">
        <v>169</v>
      </c>
      <c r="G3" s="13">
        <v>46265</v>
      </c>
      <c r="H3" s="23"/>
      <c r="I3" s="12" t="e" vm="1">
        <v>#VALUE!</v>
      </c>
      <c r="J3" s="12" t="s">
        <v>154</v>
      </c>
      <c r="K3" s="13">
        <v>46265</v>
      </c>
      <c r="L3" s="17" t="s">
        <v>170</v>
      </c>
    </row>
    <row r="4" spans="1:12" ht="28.5">
      <c r="A4" s="12" t="s">
        <v>153</v>
      </c>
      <c r="B4" s="12">
        <v>224131387</v>
      </c>
      <c r="C4" s="12" t="s">
        <v>32</v>
      </c>
      <c r="D4" s="12" t="s">
        <v>171</v>
      </c>
      <c r="E4" s="12" t="s">
        <v>172</v>
      </c>
      <c r="F4" s="12" t="s">
        <v>173</v>
      </c>
      <c r="G4" s="13">
        <v>46257</v>
      </c>
      <c r="H4" s="23"/>
      <c r="I4" s="12" t="e" vm="2">
        <v>#VALUE!</v>
      </c>
      <c r="J4" s="12" t="s">
        <v>154</v>
      </c>
      <c r="K4" s="13">
        <v>46260</v>
      </c>
      <c r="L4" s="17" t="s">
        <v>174</v>
      </c>
    </row>
    <row r="5" spans="1:12" ht="57">
      <c r="A5" s="12" t="s">
        <v>152</v>
      </c>
      <c r="B5">
        <v>221000537</v>
      </c>
      <c r="C5" s="12" t="s">
        <v>32</v>
      </c>
      <c r="D5" s="12" t="s">
        <v>251</v>
      </c>
      <c r="E5" s="12" t="s">
        <v>183</v>
      </c>
      <c r="F5" s="12" t="s">
        <v>180</v>
      </c>
      <c r="G5" s="13">
        <v>46257</v>
      </c>
      <c r="H5" s="23"/>
      <c r="I5" s="12" t="e" vm="3">
        <v>#VALUE!</v>
      </c>
      <c r="J5" s="12" t="s">
        <v>154</v>
      </c>
      <c r="K5" s="13">
        <v>46260</v>
      </c>
      <c r="L5" s="17" t="s">
        <v>175</v>
      </c>
    </row>
    <row r="6" spans="1:12" ht="42.75">
      <c r="A6" s="12" t="s">
        <v>187</v>
      </c>
      <c r="B6">
        <v>220042034</v>
      </c>
      <c r="C6" s="12" t="s">
        <v>32</v>
      </c>
      <c r="D6" s="12" t="s">
        <v>176</v>
      </c>
      <c r="E6" s="12" t="s">
        <v>182</v>
      </c>
      <c r="F6" s="12" t="s">
        <v>181</v>
      </c>
      <c r="G6" s="13">
        <v>46253</v>
      </c>
      <c r="H6" s="23"/>
      <c r="I6" s="12" t="e" vm="4">
        <v>#VALUE!</v>
      </c>
      <c r="J6" s="12" t="s">
        <v>154</v>
      </c>
      <c r="K6" s="13">
        <v>46253</v>
      </c>
      <c r="L6" s="17" t="s">
        <v>176</v>
      </c>
    </row>
    <row r="7" spans="1:12" ht="42.75">
      <c r="A7" s="12" t="s">
        <v>150</v>
      </c>
      <c r="B7">
        <v>220049867</v>
      </c>
      <c r="C7" s="12" t="s">
        <v>32</v>
      </c>
      <c r="D7" s="12" t="s">
        <v>252</v>
      </c>
      <c r="E7" s="12" t="s">
        <v>253</v>
      </c>
      <c r="F7" s="12" t="s">
        <v>254</v>
      </c>
      <c r="G7" s="13">
        <v>46254</v>
      </c>
      <c r="H7" s="23"/>
      <c r="I7" s="12" t="e" vm="5">
        <v>#VALUE!</v>
      </c>
      <c r="J7" s="12" t="s">
        <v>154</v>
      </c>
      <c r="K7" s="13">
        <v>46264</v>
      </c>
      <c r="L7" s="17" t="s">
        <v>177</v>
      </c>
    </row>
    <row r="8" spans="1:12" ht="42.75">
      <c r="A8" s="12" t="s">
        <v>156</v>
      </c>
      <c r="B8">
        <v>224074632</v>
      </c>
      <c r="C8" s="12" t="s">
        <v>32</v>
      </c>
      <c r="D8" s="12" t="s">
        <v>186</v>
      </c>
      <c r="E8" s="12" t="s">
        <v>185</v>
      </c>
      <c r="F8" s="12" t="s">
        <v>184</v>
      </c>
      <c r="G8" s="13"/>
      <c r="H8" s="23">
        <v>0</v>
      </c>
      <c r="I8" s="12" t="s">
        <v>179</v>
      </c>
      <c r="J8" s="12" t="s">
        <v>154</v>
      </c>
      <c r="K8" s="13"/>
      <c r="L8" s="17" t="s">
        <v>178</v>
      </c>
    </row>
    <row r="9" spans="1:12" ht="28.5">
      <c r="A9" s="12" t="s">
        <v>151</v>
      </c>
      <c r="B9" s="12">
        <v>222018199</v>
      </c>
      <c r="C9" s="12" t="s">
        <v>257</v>
      </c>
      <c r="D9" s="12" t="s">
        <v>279</v>
      </c>
      <c r="E9" s="12" t="s">
        <v>280</v>
      </c>
      <c r="F9" s="12" t="s">
        <v>289</v>
      </c>
      <c r="G9" s="13">
        <v>46289</v>
      </c>
      <c r="H9" s="23"/>
      <c r="I9" s="12"/>
      <c r="J9" s="12" t="s">
        <v>154</v>
      </c>
      <c r="K9" s="13"/>
      <c r="L9" s="17"/>
    </row>
    <row r="10" spans="1:12" ht="85.5">
      <c r="A10" s="12" t="s">
        <v>152</v>
      </c>
      <c r="B10" s="12">
        <v>221000537</v>
      </c>
      <c r="C10" s="12" t="s">
        <v>257</v>
      </c>
      <c r="D10" s="12" t="s">
        <v>281</v>
      </c>
      <c r="E10" s="12" t="s">
        <v>282</v>
      </c>
      <c r="F10" s="12" t="s">
        <v>290</v>
      </c>
      <c r="G10" s="13">
        <v>46274</v>
      </c>
      <c r="H10" s="23"/>
      <c r="I10" s="12"/>
      <c r="J10" s="12" t="s">
        <v>154</v>
      </c>
      <c r="K10" s="13"/>
      <c r="L10" s="17"/>
    </row>
    <row r="11" spans="1:12" ht="42.75">
      <c r="A11" s="12" t="s">
        <v>187</v>
      </c>
      <c r="B11">
        <v>220042034</v>
      </c>
      <c r="C11" s="12" t="s">
        <v>257</v>
      </c>
      <c r="D11" s="12" t="s">
        <v>283</v>
      </c>
      <c r="E11" s="12" t="s">
        <v>284</v>
      </c>
      <c r="F11" s="12" t="s">
        <v>291</v>
      </c>
      <c r="G11" s="13">
        <v>46279</v>
      </c>
      <c r="H11" s="23"/>
      <c r="I11" s="12"/>
      <c r="J11" s="12" t="s">
        <v>154</v>
      </c>
      <c r="K11" s="13"/>
      <c r="L11" s="17"/>
    </row>
    <row r="12" spans="1:12" ht="42.75">
      <c r="A12" s="16" t="s">
        <v>150</v>
      </c>
      <c r="B12" s="12">
        <v>220049867</v>
      </c>
      <c r="C12" s="12" t="s">
        <v>257</v>
      </c>
      <c r="D12" s="12" t="s">
        <v>285</v>
      </c>
      <c r="E12" s="12" t="s">
        <v>286</v>
      </c>
      <c r="F12" s="12" t="s">
        <v>293</v>
      </c>
      <c r="G12" s="13">
        <v>46285</v>
      </c>
      <c r="H12" s="23"/>
      <c r="I12" s="12"/>
      <c r="J12" s="12" t="s">
        <v>154</v>
      </c>
      <c r="K12" s="13"/>
      <c r="L12" s="17"/>
    </row>
    <row r="13" spans="1:12" ht="28.5">
      <c r="A13" s="16" t="s">
        <v>153</v>
      </c>
      <c r="B13" s="12">
        <v>224131387</v>
      </c>
      <c r="C13" s="12" t="s">
        <v>257</v>
      </c>
      <c r="D13" s="12" t="s">
        <v>258</v>
      </c>
      <c r="E13" s="12" t="s">
        <v>294</v>
      </c>
      <c r="F13" s="12" t="s">
        <v>295</v>
      </c>
      <c r="G13" s="13">
        <v>46280</v>
      </c>
      <c r="H13" s="23"/>
      <c r="I13" s="12"/>
      <c r="J13" s="12" t="s">
        <v>154</v>
      </c>
      <c r="K13" s="13"/>
      <c r="L13" s="17"/>
    </row>
    <row r="14" spans="1:12" ht="42.75">
      <c r="A14" s="16" t="s">
        <v>156</v>
      </c>
      <c r="B14" s="12">
        <v>224074632</v>
      </c>
      <c r="C14" s="12" t="s">
        <v>257</v>
      </c>
      <c r="D14" s="12" t="s">
        <v>287</v>
      </c>
      <c r="E14" s="12" t="s">
        <v>288</v>
      </c>
      <c r="F14" s="12" t="s">
        <v>292</v>
      </c>
      <c r="G14" s="13">
        <v>46279</v>
      </c>
      <c r="H14" s="23"/>
      <c r="I14" s="12"/>
      <c r="J14" s="12" t="s">
        <v>154</v>
      </c>
      <c r="K14" s="13"/>
      <c r="L14" s="17"/>
    </row>
    <row r="15" spans="1:12" ht="128.25">
      <c r="A15" s="16" t="s">
        <v>151</v>
      </c>
      <c r="B15" s="12">
        <v>222018199</v>
      </c>
      <c r="C15" s="12" t="s">
        <v>308</v>
      </c>
      <c r="D15" s="12" t="s">
        <v>422</v>
      </c>
      <c r="E15" s="12" t="s">
        <v>423</v>
      </c>
      <c r="F15" s="12" t="s">
        <v>424</v>
      </c>
      <c r="G15" s="13">
        <v>46320</v>
      </c>
      <c r="H15" s="23"/>
      <c r="I15" s="12"/>
      <c r="J15" s="12" t="s">
        <v>154</v>
      </c>
      <c r="K15" s="13">
        <v>46314</v>
      </c>
      <c r="L15" s="17"/>
    </row>
    <row r="16" spans="1:12" ht="128.25">
      <c r="A16" s="16" t="s">
        <v>152</v>
      </c>
      <c r="B16" s="12">
        <v>221000537</v>
      </c>
      <c r="C16" s="12" t="s">
        <v>308</v>
      </c>
      <c r="D16" s="12" t="s">
        <v>425</v>
      </c>
      <c r="E16" s="12" t="s">
        <v>334</v>
      </c>
      <c r="F16" s="12" t="s">
        <v>426</v>
      </c>
      <c r="G16" s="13">
        <v>46318</v>
      </c>
      <c r="H16" s="23"/>
      <c r="I16" s="12"/>
      <c r="J16" s="12" t="s">
        <v>154</v>
      </c>
      <c r="K16" s="13">
        <v>46311</v>
      </c>
      <c r="L16" s="17"/>
    </row>
    <row r="17" spans="1:12" ht="85.5">
      <c r="A17" s="16" t="s">
        <v>153</v>
      </c>
      <c r="B17" s="12">
        <v>224131387</v>
      </c>
      <c r="C17" s="12" t="s">
        <v>308</v>
      </c>
      <c r="D17" s="12" t="s">
        <v>427</v>
      </c>
      <c r="E17" s="12" t="s">
        <v>428</v>
      </c>
      <c r="F17" s="12" t="s">
        <v>429</v>
      </c>
      <c r="G17" s="13">
        <v>46318</v>
      </c>
      <c r="H17" s="23"/>
      <c r="I17" s="12"/>
      <c r="J17" s="12" t="s">
        <v>154</v>
      </c>
      <c r="K17" s="13">
        <v>46312</v>
      </c>
      <c r="L17" s="17"/>
    </row>
    <row r="18" spans="1:12" ht="99.75">
      <c r="A18" s="16" t="s">
        <v>187</v>
      </c>
      <c r="B18" s="12">
        <v>220042034</v>
      </c>
      <c r="C18" s="12" t="s">
        <v>308</v>
      </c>
      <c r="D18" s="12" t="s">
        <v>432</v>
      </c>
      <c r="E18" s="12" t="s">
        <v>433</v>
      </c>
      <c r="F18" s="12" t="s">
        <v>434</v>
      </c>
      <c r="G18" s="13">
        <v>46320</v>
      </c>
      <c r="H18" s="23"/>
      <c r="I18" s="12"/>
      <c r="J18" s="12" t="s">
        <v>154</v>
      </c>
      <c r="K18" s="13">
        <v>46312</v>
      </c>
      <c r="L18" s="17"/>
    </row>
    <row r="19" spans="1:12" ht="71.25">
      <c r="A19" s="16" t="s">
        <v>150</v>
      </c>
      <c r="B19" s="12">
        <v>220049867</v>
      </c>
      <c r="C19" s="12" t="s">
        <v>308</v>
      </c>
      <c r="D19" s="12" t="s">
        <v>336</v>
      </c>
      <c r="E19" s="12" t="s">
        <v>430</v>
      </c>
      <c r="F19" s="12" t="s">
        <v>431</v>
      </c>
      <c r="G19" s="13">
        <v>46318</v>
      </c>
      <c r="H19" s="23"/>
      <c r="I19" s="12"/>
      <c r="J19" s="12" t="s">
        <v>154</v>
      </c>
      <c r="K19" s="13">
        <v>46310</v>
      </c>
      <c r="L19" s="17"/>
    </row>
    <row r="20" spans="1:12" ht="71.25">
      <c r="A20" s="16" t="s">
        <v>156</v>
      </c>
      <c r="B20" s="12">
        <v>224074632</v>
      </c>
      <c r="C20" s="12" t="s">
        <v>308</v>
      </c>
      <c r="D20" s="12" t="s">
        <v>436</v>
      </c>
      <c r="E20" s="12" t="s">
        <v>335</v>
      </c>
      <c r="F20" s="12" t="s">
        <v>435</v>
      </c>
      <c r="G20" s="13">
        <v>46318</v>
      </c>
      <c r="H20" s="23"/>
      <c r="I20" s="12"/>
      <c r="J20" s="12" t="s">
        <v>154</v>
      </c>
      <c r="K20" s="13">
        <v>46312</v>
      </c>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J3:J201" xr:uid="{00000000-0002-0000-0300-000001000000}">
      <formula1>"Yes,No"</formula1>
    </dataValidation>
    <dataValidation type="list" sqref="C3:C201 D20" xr:uid="{00000000-0002-0000-0300-000000000000}">
      <formula1>"Unit 1 / Phase 1,Phase 2,Phase 3,Final"</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A4" zoomScale="87" workbookViewId="0">
      <selection activeCell="I7" sqref="I7"/>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0" t="s">
        <v>91</v>
      </c>
      <c r="B1" s="30"/>
      <c r="C1" s="30"/>
      <c r="D1" s="30"/>
      <c r="E1" s="30"/>
      <c r="F1" s="30"/>
      <c r="G1" s="30"/>
      <c r="H1" s="30"/>
      <c r="I1" s="30"/>
    </row>
    <row r="2" spans="1:9" ht="30">
      <c r="A2" s="1" t="s">
        <v>92</v>
      </c>
      <c r="B2" s="15" t="s">
        <v>69</v>
      </c>
      <c r="C2" s="15" t="s">
        <v>93</v>
      </c>
      <c r="D2" s="15" t="s">
        <v>3</v>
      </c>
      <c r="E2" s="15" t="s">
        <v>94</v>
      </c>
      <c r="F2" s="15" t="s">
        <v>95</v>
      </c>
      <c r="G2" s="15" t="s">
        <v>96</v>
      </c>
      <c r="H2" s="15" t="s">
        <v>97</v>
      </c>
      <c r="I2" s="2" t="s">
        <v>77</v>
      </c>
    </row>
    <row r="3" spans="1:9" ht="42.75">
      <c r="A3" s="25">
        <v>46254</v>
      </c>
      <c r="B3" s="12" t="s">
        <v>32</v>
      </c>
      <c r="C3" s="12" t="s">
        <v>157</v>
      </c>
      <c r="D3" s="12" t="s">
        <v>231</v>
      </c>
      <c r="E3" s="12" t="s">
        <v>158</v>
      </c>
      <c r="F3" s="12" t="s">
        <v>159</v>
      </c>
      <c r="G3" s="12" t="s">
        <v>160</v>
      </c>
      <c r="H3" s="12" t="s">
        <v>235</v>
      </c>
      <c r="I3" s="17" t="s">
        <v>236</v>
      </c>
    </row>
    <row r="4" spans="1:9" ht="42.75">
      <c r="A4" s="25">
        <v>46258</v>
      </c>
      <c r="B4" s="12" t="s">
        <v>32</v>
      </c>
      <c r="C4" s="12" t="s">
        <v>157</v>
      </c>
      <c r="D4" s="12" t="s">
        <v>232</v>
      </c>
      <c r="E4" s="12" t="s">
        <v>161</v>
      </c>
      <c r="F4" s="12" t="s">
        <v>233</v>
      </c>
      <c r="G4" s="12" t="s">
        <v>234</v>
      </c>
      <c r="H4" s="12" t="s">
        <v>238</v>
      </c>
      <c r="I4" s="17" t="s">
        <v>237</v>
      </c>
    </row>
    <row r="5" spans="1:9" ht="85.5">
      <c r="A5" s="25">
        <v>46279</v>
      </c>
      <c r="B5" s="12" t="s">
        <v>257</v>
      </c>
      <c r="C5" s="12" t="s">
        <v>301</v>
      </c>
      <c r="D5" s="12" t="s">
        <v>302</v>
      </c>
      <c r="E5" s="12" t="s">
        <v>187</v>
      </c>
      <c r="F5" s="12" t="s">
        <v>233</v>
      </c>
      <c r="G5" s="12" t="s">
        <v>303</v>
      </c>
      <c r="H5" s="12" t="s">
        <v>304</v>
      </c>
      <c r="I5" s="17"/>
    </row>
    <row r="6" spans="1:9" ht="99.75">
      <c r="A6" s="25">
        <v>46286</v>
      </c>
      <c r="B6" s="12" t="s">
        <v>257</v>
      </c>
      <c r="C6" s="12" t="s">
        <v>301</v>
      </c>
      <c r="D6" s="12" t="s">
        <v>305</v>
      </c>
      <c r="E6" s="12" t="s">
        <v>187</v>
      </c>
      <c r="F6" s="12" t="s">
        <v>233</v>
      </c>
      <c r="G6" s="12" t="s">
        <v>306</v>
      </c>
      <c r="H6" s="12" t="s">
        <v>307</v>
      </c>
      <c r="I6" s="17"/>
    </row>
    <row r="7" spans="1:9">
      <c r="A7" s="25">
        <v>46318</v>
      </c>
      <c r="B7" s="12" t="s">
        <v>337</v>
      </c>
      <c r="C7" t="s">
        <v>338</v>
      </c>
      <c r="D7" t="s">
        <v>339</v>
      </c>
      <c r="E7" s="38" t="s">
        <v>187</v>
      </c>
      <c r="F7" s="39" t="s">
        <v>340</v>
      </c>
      <c r="G7" t="s">
        <v>341</v>
      </c>
      <c r="H7" t="s">
        <v>342</v>
      </c>
      <c r="I7" t="s">
        <v>343</v>
      </c>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6 C8: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D1" zoomScale="68" workbookViewId="0">
      <selection activeCell="H9" sqref="H9"/>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30" customHeight="1">
      <c r="A1" s="30" t="s">
        <v>98</v>
      </c>
      <c r="B1" s="30"/>
      <c r="C1" s="30"/>
      <c r="D1" s="30"/>
      <c r="E1" s="30"/>
      <c r="F1" s="30"/>
      <c r="G1" s="30"/>
      <c r="H1" s="30"/>
    </row>
    <row r="2" spans="1:8" ht="15">
      <c r="A2" s="1" t="s">
        <v>99</v>
      </c>
      <c r="B2" s="15" t="s">
        <v>69</v>
      </c>
      <c r="C2" s="15" t="s">
        <v>100</v>
      </c>
      <c r="D2" s="15" t="s">
        <v>101</v>
      </c>
      <c r="E2" s="15" t="s">
        <v>102</v>
      </c>
      <c r="F2" s="15" t="s">
        <v>103</v>
      </c>
      <c r="G2" s="15" t="s">
        <v>104</v>
      </c>
      <c r="H2" s="2" t="s">
        <v>75</v>
      </c>
    </row>
    <row r="3" spans="1:8" ht="57">
      <c r="A3" s="25">
        <v>46253</v>
      </c>
      <c r="B3" s="12" t="s">
        <v>32</v>
      </c>
      <c r="C3" s="12" t="s">
        <v>239</v>
      </c>
      <c r="D3" s="12" t="s">
        <v>240</v>
      </c>
      <c r="E3" s="12" t="s">
        <v>241</v>
      </c>
      <c r="F3" s="12" t="s">
        <v>162</v>
      </c>
      <c r="G3" s="13">
        <v>46259</v>
      </c>
      <c r="H3" s="17" t="s">
        <v>163</v>
      </c>
    </row>
    <row r="4" spans="1:8" ht="57">
      <c r="A4" s="25">
        <v>46258</v>
      </c>
      <c r="B4" s="12" t="s">
        <v>32</v>
      </c>
      <c r="C4" s="12" t="s">
        <v>242</v>
      </c>
      <c r="D4" s="12" t="s">
        <v>243</v>
      </c>
      <c r="E4" s="12" t="s">
        <v>244</v>
      </c>
      <c r="F4" s="12" t="s">
        <v>245</v>
      </c>
      <c r="G4" s="13">
        <v>46265</v>
      </c>
      <c r="H4" s="17" t="s">
        <v>163</v>
      </c>
    </row>
    <row r="5" spans="1:8" ht="57">
      <c r="A5" s="25">
        <v>46265</v>
      </c>
      <c r="B5" s="12" t="s">
        <v>32</v>
      </c>
      <c r="C5" s="12" t="s">
        <v>246</v>
      </c>
      <c r="D5" s="12" t="s">
        <v>247</v>
      </c>
      <c r="E5" s="12" t="s">
        <v>248</v>
      </c>
      <c r="F5" s="12" t="s">
        <v>249</v>
      </c>
      <c r="G5" s="13">
        <v>46269</v>
      </c>
      <c r="H5" s="17" t="s">
        <v>163</v>
      </c>
    </row>
    <row r="6" spans="1:8" ht="28.5">
      <c r="A6" s="25">
        <v>46276</v>
      </c>
      <c r="B6" s="12" t="s">
        <v>257</v>
      </c>
      <c r="C6" s="12" t="s">
        <v>296</v>
      </c>
      <c r="D6" s="12" t="s">
        <v>297</v>
      </c>
      <c r="E6" s="12" t="s">
        <v>298</v>
      </c>
      <c r="F6" s="12" t="s">
        <v>299</v>
      </c>
      <c r="G6" s="13"/>
      <c r="H6" s="17" t="s">
        <v>163</v>
      </c>
    </row>
    <row r="7" spans="1:8" ht="42.75">
      <c r="A7" s="25">
        <v>46299</v>
      </c>
      <c r="B7" s="12" t="s">
        <v>308</v>
      </c>
      <c r="C7" s="12" t="s">
        <v>317</v>
      </c>
      <c r="D7" s="12" t="s">
        <v>318</v>
      </c>
      <c r="E7" s="12" t="s">
        <v>319</v>
      </c>
      <c r="F7" s="12" t="s">
        <v>320</v>
      </c>
      <c r="G7" s="13">
        <v>46301</v>
      </c>
      <c r="H7" s="17" t="s">
        <v>163</v>
      </c>
    </row>
    <row r="8" spans="1:8" ht="42.75">
      <c r="A8" s="25">
        <v>46311</v>
      </c>
      <c r="B8" s="12" t="s">
        <v>308</v>
      </c>
      <c r="C8" s="12" t="s">
        <v>321</v>
      </c>
      <c r="D8" s="12" t="s">
        <v>322</v>
      </c>
      <c r="E8" s="12" t="s">
        <v>323</v>
      </c>
      <c r="F8" s="12" t="s">
        <v>324</v>
      </c>
      <c r="G8" s="13">
        <v>46313</v>
      </c>
      <c r="H8" s="17" t="s">
        <v>163</v>
      </c>
    </row>
    <row r="9" spans="1:8" ht="42.75">
      <c r="A9" s="25">
        <v>46316</v>
      </c>
      <c r="B9" s="12" t="s">
        <v>344</v>
      </c>
      <c r="C9" t="s">
        <v>345</v>
      </c>
      <c r="D9" s="12" t="s">
        <v>346</v>
      </c>
      <c r="E9" t="s">
        <v>347</v>
      </c>
      <c r="F9" t="s">
        <v>249</v>
      </c>
      <c r="G9" s="13">
        <v>46316</v>
      </c>
      <c r="H9" s="17" t="s">
        <v>163</v>
      </c>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C12" workbookViewId="0">
      <selection activeCell="B13" sqref="B13"/>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30" t="s">
        <v>105</v>
      </c>
      <c r="B1" s="30"/>
      <c r="C1" s="30"/>
      <c r="D1" s="30"/>
      <c r="E1" s="30"/>
      <c r="F1" s="30"/>
    </row>
    <row r="3" spans="1:6" ht="15">
      <c r="A3" s="1" t="s">
        <v>106</v>
      </c>
      <c r="B3" s="2" t="s">
        <v>42</v>
      </c>
      <c r="D3" s="35" t="s">
        <v>107</v>
      </c>
      <c r="E3" s="36"/>
      <c r="F3" s="37"/>
    </row>
    <row r="4" spans="1:6" ht="15">
      <c r="A4" s="3" t="s">
        <v>53</v>
      </c>
      <c r="B4" s="7" t="s">
        <v>308</v>
      </c>
      <c r="D4" s="3" t="s">
        <v>108</v>
      </c>
      <c r="E4" s="27" t="s">
        <v>154</v>
      </c>
    </row>
    <row r="5" spans="1:6" ht="15">
      <c r="A5" s="3" t="s">
        <v>55</v>
      </c>
      <c r="B5" s="7" t="s">
        <v>325</v>
      </c>
      <c r="D5" s="3" t="s">
        <v>109</v>
      </c>
      <c r="E5" s="27" t="s">
        <v>154</v>
      </c>
    </row>
    <row r="6" spans="1:6" ht="15">
      <c r="A6" s="3" t="s">
        <v>110</v>
      </c>
      <c r="B6" s="7" t="s">
        <v>46</v>
      </c>
      <c r="D6" s="3" t="s">
        <v>111</v>
      </c>
      <c r="E6" s="27" t="s">
        <v>154</v>
      </c>
    </row>
    <row r="7" spans="1:6" ht="60" customHeight="1">
      <c r="A7" s="3" t="s">
        <v>112</v>
      </c>
      <c r="B7" s="7" t="s">
        <v>326</v>
      </c>
      <c r="D7" s="3" t="s">
        <v>113</v>
      </c>
      <c r="E7" s="27" t="s">
        <v>154</v>
      </c>
    </row>
    <row r="8" spans="1:6" ht="60" customHeight="1">
      <c r="A8" s="3" t="s">
        <v>114</v>
      </c>
      <c r="B8" s="7" t="s">
        <v>250</v>
      </c>
      <c r="D8" s="3" t="s">
        <v>115</v>
      </c>
      <c r="E8" s="27" t="s">
        <v>154</v>
      </c>
    </row>
    <row r="9" spans="1:6" ht="60" customHeight="1">
      <c r="A9" s="3" t="s">
        <v>116</v>
      </c>
      <c r="B9" s="7"/>
      <c r="D9" s="3" t="s">
        <v>117</v>
      </c>
      <c r="E9" s="27" t="s">
        <v>154</v>
      </c>
    </row>
    <row r="10" spans="1:6" ht="60" customHeight="1">
      <c r="A10" s="3" t="s">
        <v>118</v>
      </c>
      <c r="B10" s="7" t="s">
        <v>327</v>
      </c>
      <c r="D10" s="3" t="s">
        <v>119</v>
      </c>
      <c r="E10" s="27" t="s">
        <v>154</v>
      </c>
    </row>
    <row r="11" spans="1:6" ht="60" customHeight="1">
      <c r="A11" s="3" t="s">
        <v>120</v>
      </c>
      <c r="B11" s="7" t="s">
        <v>250</v>
      </c>
      <c r="D11" s="3" t="s">
        <v>121</v>
      </c>
      <c r="E11" s="27" t="s">
        <v>154</v>
      </c>
    </row>
    <row r="12" spans="1:6" ht="60" customHeight="1">
      <c r="A12" s="3" t="s">
        <v>122</v>
      </c>
      <c r="B12" s="7" t="s">
        <v>164</v>
      </c>
      <c r="D12" s="5" t="s">
        <v>123</v>
      </c>
      <c r="E12" s="28" t="s">
        <v>154</v>
      </c>
    </row>
    <row r="13" spans="1:6" ht="60" customHeight="1">
      <c r="A13" s="5" t="s">
        <v>124</v>
      </c>
      <c r="B13" s="9" t="s">
        <v>164</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B1" zoomScale="115" zoomScaleNormal="115" workbookViewId="0">
      <selection activeCell="B19" sqref="B19"/>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30" t="s">
        <v>29</v>
      </c>
      <c r="B1" s="30"/>
      <c r="C1" s="30"/>
      <c r="D1" s="30"/>
      <c r="E1" s="30"/>
      <c r="F1" s="30"/>
    </row>
    <row r="3" spans="1:6" ht="15">
      <c r="A3" s="1" t="s">
        <v>125</v>
      </c>
      <c r="B3" s="2" t="s">
        <v>42</v>
      </c>
      <c r="D3" s="35" t="s">
        <v>126</v>
      </c>
      <c r="E3" s="36"/>
      <c r="F3" s="37"/>
    </row>
    <row r="4" spans="1:6" ht="42" customHeight="1">
      <c r="A4" s="3" t="s">
        <v>53</v>
      </c>
      <c r="B4" s="7" t="s">
        <v>257</v>
      </c>
      <c r="D4" s="3" t="s">
        <v>127</v>
      </c>
      <c r="E4" s="4" t="s">
        <v>128</v>
      </c>
    </row>
    <row r="5" spans="1:6" ht="42" customHeight="1">
      <c r="A5" s="3" t="s">
        <v>47</v>
      </c>
      <c r="B5" s="7" t="s">
        <v>300</v>
      </c>
      <c r="D5" s="3" t="s">
        <v>129</v>
      </c>
      <c r="E5" s="4" t="s">
        <v>130</v>
      </c>
    </row>
    <row r="6" spans="1:6" ht="42" customHeight="1">
      <c r="A6" s="3" t="s">
        <v>131</v>
      </c>
      <c r="B6" s="7" t="s">
        <v>328</v>
      </c>
      <c r="D6" s="3" t="s">
        <v>132</v>
      </c>
      <c r="E6" s="4" t="s">
        <v>133</v>
      </c>
    </row>
    <row r="7" spans="1:6" ht="42" customHeight="1">
      <c r="A7" s="3" t="s">
        <v>134</v>
      </c>
      <c r="B7" s="7" t="s">
        <v>329</v>
      </c>
      <c r="D7" s="3" t="s">
        <v>135</v>
      </c>
      <c r="E7" s="4" t="s">
        <v>136</v>
      </c>
    </row>
    <row r="8" spans="1:6" ht="42" customHeight="1">
      <c r="A8" s="3" t="s">
        <v>137</v>
      </c>
      <c r="B8" s="7" t="s">
        <v>330</v>
      </c>
      <c r="D8" s="5" t="s">
        <v>138</v>
      </c>
      <c r="E8" s="6" t="s">
        <v>139</v>
      </c>
    </row>
    <row r="9" spans="1:6" ht="74.099999999999994" customHeight="1">
      <c r="A9" s="3" t="s">
        <v>140</v>
      </c>
      <c r="B9" s="7" t="s">
        <v>331</v>
      </c>
    </row>
    <row r="10" spans="1:6" ht="74.099999999999994" customHeight="1">
      <c r="A10" s="3" t="s">
        <v>141</v>
      </c>
      <c r="B10" s="7" t="s">
        <v>332</v>
      </c>
    </row>
    <row r="11" spans="1:6" ht="74.099999999999994" customHeight="1">
      <c r="A11" s="3" t="s">
        <v>142</v>
      </c>
      <c r="B11" s="7" t="s">
        <v>166</v>
      </c>
    </row>
    <row r="12" spans="1:6" ht="74.099999999999994" customHeight="1">
      <c r="A12" s="3" t="s">
        <v>143</v>
      </c>
      <c r="B12" s="7" t="s">
        <v>333</v>
      </c>
    </row>
    <row r="13" spans="1:6" ht="74.099999999999994" customHeight="1">
      <c r="A13" s="3" t="s">
        <v>144</v>
      </c>
      <c r="B13" s="7" t="s">
        <v>164</v>
      </c>
    </row>
    <row r="14" spans="1:6" ht="74.099999999999994" customHeight="1">
      <c r="A14" s="3" t="s">
        <v>145</v>
      </c>
      <c r="B14" s="7" t="s">
        <v>164</v>
      </c>
    </row>
    <row r="15" spans="1:6" ht="74.099999999999994" customHeight="1">
      <c r="A15" s="5" t="s">
        <v>146</v>
      </c>
      <c r="B15" s="9" t="s">
        <v>164</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Mamello Lepitla;Paballo Inspection Junior Lebusa</dc:creator>
  <cp:lastModifiedBy>Lepitla Mamello</cp:lastModifiedBy>
  <dcterms:created xsi:type="dcterms:W3CDTF">2026-08-31T06:45:06Z</dcterms:created>
  <dcterms:modified xsi:type="dcterms:W3CDTF">2026-10-25T13:28:34Z</dcterms:modified>
</cp:coreProperties>
</file>