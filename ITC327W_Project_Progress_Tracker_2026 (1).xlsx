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4" activeTab="7" autoFilterDateGrouping="1"/>
  </bookViews>
  <sheets>
    <sheet xmlns:r="http://schemas.openxmlformats.org/officeDocument/2006/relationships" name="Instructions" sheetId="1" state="visible" r:id="rId1"/>
    <sheet xmlns:r="http://schemas.openxmlformats.org/officeDocument/2006/relationships" name="Project Overview" sheetId="2" state="visible" r:id="rId2"/>
    <sheet xmlns:r="http://schemas.openxmlformats.org/officeDocument/2006/relationships" name="Task Progress" sheetId="3" state="visible" r:id="rId3"/>
    <sheet xmlns:r="http://schemas.openxmlformats.org/officeDocument/2006/relationships" name="Individual Contributions" sheetId="4" state="visible" r:id="rId4"/>
    <sheet xmlns:r="http://schemas.openxmlformats.org/officeDocument/2006/relationships" name="Stakeholder Engagement" sheetId="5" state="visible" r:id="rId5"/>
    <sheet xmlns:r="http://schemas.openxmlformats.org/officeDocument/2006/relationships" name="Challenges &amp; Actions" sheetId="6" state="visible" r:id="rId6"/>
    <sheet xmlns:r="http://schemas.openxmlformats.org/officeDocument/2006/relationships" name="Phase Summary" sheetId="7" state="visible" r:id="rId7"/>
    <sheet xmlns:r="http://schemas.openxmlformats.org/officeDocument/2006/relationships" name="Group Reflection" sheetId="8" state="visible" r:id="rId8"/>
  </sheets>
  <definedNames/>
  <calcPr calcId="191029" fullCalcOnLoad="1"/>
</workbook>
</file>

<file path=xl/styles.xml><?xml version="1.0" encoding="utf-8"?>
<styleSheet xmlns="http://schemas.openxmlformats.org/spreadsheetml/2006/main">
  <numFmts count="4">
    <numFmt numFmtId="164" formatCode="0.0%"/>
    <numFmt numFmtId="165" formatCode="yyyy\-mm\-dd"/>
    <numFmt numFmtId="166" formatCode="0&quot;%&quot;"/>
    <numFmt numFmtId="167" formatCode="0.0"/>
  </numFmts>
  <fonts count="7">
    <font>
      <name val="Carlito"/>
      <sz val="11"/>
    </font>
    <font>
      <name val="Carlito"/>
      <b val="1"/>
      <color rgb="FFFFFFFF"/>
      <sz val="16"/>
    </font>
    <font>
      <name val="Carlito"/>
      <i val="1"/>
      <color rgb="FF1F2937"/>
      <sz val="11"/>
    </font>
    <font>
      <name val="Carlito"/>
      <b val="1"/>
      <color rgb="FFFFFFFF"/>
      <sz val="11"/>
    </font>
    <font>
      <name val="Carlito"/>
      <b val="1"/>
      <color rgb="FF0B2E59"/>
      <sz val="11"/>
    </font>
    <font>
      <name val="Carlito"/>
      <color rgb="FF1F2937"/>
      <sz val="11"/>
    </font>
    <font>
      <name val="Times New Roman"/>
      <family val="1"/>
      <sz val="10"/>
    </font>
  </fonts>
  <fills count="7">
    <fill>
      <patternFill/>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8"/>
  </cellStyleXfs>
  <cellXfs count="42">
    <xf numFmtId="0" fontId="0" fillId="0" borderId="0" pivotButton="0" quotePrefix="0" xfId="0"/>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3" applyAlignment="1" pivotButton="0" quotePrefix="0" xfId="0">
      <alignment horizontal="left" vertical="center" wrapText="1"/>
    </xf>
    <xf numFmtId="0" fontId="0" fillId="0" borderId="4" applyAlignment="1" pivotButton="0" quotePrefix="0" xfId="0">
      <alignment wrapText="1"/>
    </xf>
    <xf numFmtId="0" fontId="4" fillId="4" borderId="5" applyAlignment="1" pivotButton="0" quotePrefix="0" xfId="0">
      <alignment horizontal="left" vertical="center" wrapText="1"/>
    </xf>
    <xf numFmtId="0" fontId="0" fillId="0" borderId="6" applyAlignment="1" pivotButton="0" quotePrefix="0" xfId="0">
      <alignment wrapText="1"/>
    </xf>
    <xf numFmtId="0" fontId="5" fillId="6" borderId="4" applyAlignment="1" pivotButton="0" quotePrefix="0" xfId="0">
      <alignment vertical="top" wrapText="1"/>
    </xf>
    <xf numFmtId="164" fontId="5" fillId="6" borderId="4" applyAlignment="1" pivotButton="0" quotePrefix="0" xfId="0">
      <alignment vertical="top" wrapText="1"/>
    </xf>
    <xf numFmtId="0" fontId="5" fillId="6" borderId="6" applyAlignment="1" pivotButton="0" quotePrefix="0" xfId="0">
      <alignment vertical="top" wrapText="1"/>
    </xf>
    <xf numFmtId="0" fontId="0"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7" applyAlignment="1" pivotButton="0" quotePrefix="0" xfId="0">
      <alignment horizontal="center" vertical="center"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8" applyAlignment="1" pivotButton="0" quotePrefix="0" xfId="0">
      <alignment vertical="top" wrapText="1"/>
    </xf>
    <xf numFmtId="165" fontId="0" fillId="0" borderId="8" applyAlignment="1" pivotButton="0" quotePrefix="0" xfId="0">
      <alignment vertical="top" wrapText="1"/>
    </xf>
    <xf numFmtId="166" fontId="0" fillId="0" borderId="8" applyAlignment="1" pivotButton="0" quotePrefix="0" xfId="0">
      <alignment vertical="top" wrapText="1"/>
    </xf>
    <xf numFmtId="0" fontId="0" fillId="0" borderId="6" applyAlignment="1" pivotButton="0" quotePrefix="0" xfId="0">
      <alignment vertical="top" wrapText="1"/>
    </xf>
    <xf numFmtId="167" fontId="0" fillId="0" borderId="0" applyAlignment="1" pivotButton="0" quotePrefix="0" xfId="0">
      <alignment vertical="top" wrapText="1"/>
    </xf>
    <xf numFmtId="167" fontId="0" fillId="0" borderId="8" applyAlignment="1" pivotButton="0" quotePrefix="0" xfId="0">
      <alignment vertical="top" wrapText="1"/>
    </xf>
    <xf numFmtId="165" fontId="0" fillId="0" borderId="3" applyAlignment="1" pivotButton="0" quotePrefix="0" xfId="0">
      <alignment vertical="top" wrapText="1"/>
    </xf>
    <xf numFmtId="165" fontId="0" fillId="0" borderId="5" applyAlignment="1" pivotButton="0" quotePrefix="0" xfId="0">
      <alignment vertical="top" wrapText="1"/>
    </xf>
    <xf numFmtId="0" fontId="0" fillId="0" borderId="4" pivotButton="0" quotePrefix="0" xfId="0"/>
    <xf numFmtId="0" fontId="0" fillId="0" borderId="6" pivotButton="0" quotePrefix="0" xfId="0"/>
    <xf numFmtId="0" fontId="6"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3" fillId="5" borderId="1" applyAlignment="1" pivotButton="0" quotePrefix="0" xfId="0">
      <alignment horizontal="left" vertical="center"/>
    </xf>
    <xf numFmtId="0" fontId="3" fillId="5" borderId="2" applyAlignment="1" pivotButton="0" quotePrefix="0" xfId="0">
      <alignment horizontal="left" vertical="center"/>
    </xf>
    <xf numFmtId="0" fontId="3" fillId="5" borderId="0" applyAlignment="1" pivotButton="0" quotePrefix="0" xfId="0">
      <alignment horizontal="left" vertical="center"/>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1" fillId="2" borderId="8" applyAlignment="1" pivotButton="0" quotePrefix="0" xfId="0">
      <alignment horizontal="left" vertical="center"/>
    </xf>
    <xf numFmtId="0" fontId="2" fillId="3" borderId="8" applyAlignment="1" pivotButton="0" quotePrefix="0" xfId="0">
      <alignment vertical="top" wrapText="1"/>
    </xf>
    <xf numFmtId="0" fontId="3" fillId="5" borderId="8" applyAlignment="1" pivotButton="0" quotePrefix="0" xfId="0">
      <alignment horizontal="left" vertical="center"/>
    </xf>
    <xf numFmtId="0" fontId="3" fillId="2" borderId="8" applyAlignment="1" pivotButton="0" quotePrefix="0" xfId="0">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val="1"/>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US"/>
              <a:t>Task Status Summary</a:t>
            </a:r>
          </a:p>
        </rich>
      </tx>
      <overlay val="0"/>
    </title>
    <plotArea>
      <layout/>
      <barChart>
        <barDir val="col"/>
        <grouping val="clustered"/>
        <varyColors val="0"/>
        <ser>
          <idx val="0"/>
          <order val="0"/>
          <tx>
            <v>Count</v>
          </tx>
          <spPr>
            <a:ln xmlns:a="http://schemas.openxmlformats.org/drawingml/2006/main">
              <a:prstDash val="solid"/>
            </a:ln>
          </spPr>
          <invertIfNegative val="1"/>
          <cat>
            <strRef>
              <f>'Project Overview'!$F$4:$F$9</f>
              <strCache>
                <ptCount val="6"/>
                <pt idx="0">
                  <v>Completed</v>
                </pt>
                <pt idx="1">
                  <v>In Progress</v>
                </pt>
                <pt idx="2">
                  <v>Not Started</v>
                </pt>
                <pt idx="3">
                  <v>Delayed</v>
                </pt>
                <pt idx="4">
                  <v>Blocked</v>
                </pt>
                <pt idx="5">
                  <v>Overdue</v>
                </pt>
              </strCache>
            </strRef>
          </cat>
          <val>
            <numRef>
              <f>'Project Overview'!$G$4:$G$9</f>
              <numCache>
                <formatCode>General</formatCode>
                <ptCount val="6"/>
                <pt idx="0">
                  <v>25</v>
                </pt>
                <pt idx="1">
                  <v>0</v>
                </pt>
                <pt idx="2">
                  <v>0</v>
                </pt>
                <pt idx="3">
                  <v>0</v>
                </pt>
                <pt idx="4">
                  <v>0</v>
                </pt>
                <pt idx="5">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8</col>
      <colOff>0</colOff>
      <row>2</row>
      <rowOff>0</rowOff>
    </from>
    <to>
      <col>12</col>
      <colOff>0</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TaskProgressTable" displayName="TaskProgressTable" ref="A2:M101" headerRowCount="1">
  <tableColumns count="13">
    <tableColumn id="1" name="Task ID"/>
    <tableColumn id="2" name="Reporting Phase"/>
    <tableColumn id="3" name="Activity"/>
    <tableColumn id="4" name="Task Description"/>
    <tableColumn id="5" name="Assigned Student"/>
    <tableColumn id="6" name="Start Date"/>
    <tableColumn id="7" name="Due Date"/>
    <tableColumn id="8" name="Status"/>
    <tableColumn id="9" name="% Complete"/>
    <tableColumn id="10" name="Evidence / Link"/>
    <tableColumn id="11" name="Verified by Group"/>
    <tableColumn id="12" name="Lecturer Comment"/>
    <tableColumn id="13" name="Progress Flag"/>
  </tableColumns>
  <tableStyleInfo name="TableStyleMedium2" showFirstColumn="0" showLastColumn="0" showRowStripes="1" showColumnStripes="0"/>
</table>
</file>

<file path=xl/tables/table2.xml><?xml version="1.0" encoding="utf-8"?>
<table xmlns="http://schemas.openxmlformats.org/spreadsheetml/2006/main" id="2" name="IndividualContributionsTable" displayName="IndividualContributionsTable" ref="A2:L201" headerRowCount="1">
  <tableColumns count="12">
    <tableColumn id="1" name="Student Name"/>
    <tableColumn id="2" name="Student Number"/>
    <tableColumn id="3" name="Reporting Phase"/>
    <tableColumn id="4" name="Activity"/>
    <tableColumn id="5" name="Assigned Responsibility"/>
    <tableColumn id="6" name="Work Personally Completed"/>
    <tableColumn id="7" name="Date Completed"/>
    <tableColumn id="8" name="Hours Spent"/>
    <tableColumn id="9" name="Evidence / Link"/>
    <tableColumn id="10" name="Verified by Group"/>
    <tableColumn id="11" name="Verification Date"/>
    <tableColumn id="12" name="Notes"/>
  </tableColumns>
  <tableStyleInfo name="TableStyleMedium2" showFirstColumn="0" showLastColumn="0" showRowStripes="1" showColumnStripes="0"/>
</table>
</file>

<file path=xl/tables/table3.xml><?xml version="1.0" encoding="utf-8"?>
<table xmlns="http://schemas.openxmlformats.org/spreadsheetml/2006/main" id="3" name="StakeholderEngagementTable" displayName="StakeholderEngagementTable" ref="A2:I101" headerRowCount="1">
  <tableColumns count="9">
    <tableColumn id="1" name="Date"/>
    <tableColumn id="2" name="Reporting Phase"/>
    <tableColumn id="3" name="Type of Engagement"/>
    <tableColumn id="4" name="Purpose"/>
    <tableColumn id="5" name="Students Present"/>
    <tableColumn id="6" name="Stakeholder Present / Role"/>
    <tableColumn id="7" name="Main Findings"/>
    <tableColumn id="8" name="Action Required"/>
    <tableColumn id="9" name="Evidence / Link"/>
  </tableColumns>
  <tableStyleInfo name="TableStyleMedium2" showFirstColumn="0" showLastColumn="0" showRowStripes="1" showColumnStripes="0"/>
</table>
</file>

<file path=xl/tables/table4.xml><?xml version="1.0" encoding="utf-8"?>
<table xmlns="http://schemas.openxmlformats.org/spreadsheetml/2006/main" id="4" name="ChallengesActionsTable" displayName="ChallengesActionsTable" ref="A2:H101" headerRowCount="1">
  <tableColumns count="8">
    <tableColumn id="1" name="Date Identified"/>
    <tableColumn id="2" name="Reporting Phase"/>
    <tableColumn id="3" name="Challenge"/>
    <tableColumn id="4" name="Effect on Progress"/>
    <tableColumn id="5" name="Corrective Action"/>
    <tableColumn id="6" name="Responsible Student"/>
    <tableColumn id="7" name="Target Date"/>
    <tableColumn id="8"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H17"/>
  <sheetViews>
    <sheetView topLeftCell="A8" workbookViewId="0">
      <selection activeCell="B11" sqref="B11"/>
    </sheetView>
  </sheetViews>
  <sheetFormatPr baseColWidth="8" defaultRowHeight="14.25"/>
  <cols>
    <col width="24" customWidth="1" min="1" max="1"/>
    <col width="48" customWidth="1" min="2" max="2"/>
    <col width="3" customWidth="1" min="3" max="3"/>
    <col width="10" customWidth="1" min="4" max="4"/>
    <col width="54" customWidth="1" min="5" max="5"/>
    <col width="12" customWidth="1" min="6" max="8"/>
  </cols>
  <sheetData>
    <row r="1" ht="30" customHeight="1">
      <c r="A1" s="38" t="inlineStr">
        <is>
          <t>ITC327W Project Progress and Contribution Workbook</t>
        </is>
      </c>
    </row>
    <row r="3" ht="42" customHeight="1">
      <c r="A3" s="39" t="inlineStr">
        <is>
          <t>Use this workbook throughout the semester. Update it after each project phase and submit the same workbook again so that progress can be tracked over time.</t>
        </is>
      </c>
    </row>
    <row r="5" ht="15" customHeight="1">
      <c r="A5" s="35" t="inlineStr">
        <is>
          <t>Sheet</t>
        </is>
      </c>
      <c r="B5" s="36" t="inlineStr">
        <is>
          <t>Purpose</t>
        </is>
      </c>
      <c r="D5" s="40" t="inlineStr">
        <is>
          <t>Evidence and Accountability Rules</t>
        </is>
      </c>
    </row>
    <row r="6" ht="33.95" customHeight="1">
      <c r="A6" s="3" t="inlineStr">
        <is>
          <t>Project Overview</t>
        </is>
      </c>
      <c r="B6" s="4" t="inlineStr">
        <is>
          <t>Enter the group and project details. The dashboard summarises task progress automatically.</t>
        </is>
      </c>
      <c r="D6" s="3" t="inlineStr">
        <is>
          <t>1</t>
        </is>
      </c>
      <c r="E6" s="4" t="inlineStr">
        <is>
          <t>Every student must be assigned meaningful work in Microsoft Project.</t>
        </is>
      </c>
    </row>
    <row r="7" ht="33.95" customHeight="1">
      <c r="A7" s="3" t="inlineStr">
        <is>
          <t>Task Progress</t>
        </is>
      </c>
      <c r="B7" s="4" t="inlineStr">
        <is>
          <t>Record planned and completed tasks, responsible students, dates, status, percentage completed and evidence.</t>
        </is>
      </c>
      <c r="D7" s="3" t="inlineStr">
        <is>
          <t>2</t>
        </is>
      </c>
      <c r="E7" s="4" t="inlineStr">
        <is>
          <t>Completed work must be supported by evidence such as GitHub activity, meeting records, document sections, screenshots or stakeholder communication.</t>
        </is>
      </c>
    </row>
    <row r="8" ht="33.95" customHeight="1">
      <c r="A8" s="3" t="inlineStr">
        <is>
          <t>Individual Contributions</t>
        </is>
      </c>
      <c r="B8" s="4" t="inlineStr">
        <is>
          <t>Record the work personally completed by each student. Every entry must have evidence.</t>
        </is>
      </c>
      <c r="D8" s="3" t="inlineStr">
        <is>
          <t>3</t>
        </is>
      </c>
      <c r="E8" s="4" t="inlineStr">
        <is>
          <t>GitHub commits are not the only evidence. Planning, interviewing, documentation, coordination and quality review also count.</t>
        </is>
      </c>
    </row>
    <row r="9" ht="33.95" customHeight="1">
      <c r="A9" s="3" t="inlineStr">
        <is>
          <t>Stakeholder Engagement</t>
        </is>
      </c>
      <c r="B9" s="4" t="inlineStr">
        <is>
          <t>Record meetings, calls and emails with the stakeholder and the main outcomes.</t>
        </is>
      </c>
      <c r="D9" s="3" t="inlineStr">
        <is>
          <t>4</t>
        </is>
      </c>
      <c r="E9" s="4" t="inlineStr">
        <is>
          <t>Do not record work as completed by a student when it was completed by someone else.</t>
        </is>
      </c>
    </row>
    <row r="10" ht="33.95" customHeight="1">
      <c r="A10" s="3" t="inlineStr">
        <is>
          <t>Challenges &amp; Actions</t>
        </is>
      </c>
      <c r="B10" s="4" t="inlineStr">
        <is>
          <t>Record project challenges, their effect and the corrective action taken.</t>
        </is>
      </c>
      <c r="D10" s="3" t="inlineStr">
        <is>
          <t>5</t>
        </is>
      </c>
      <c r="E10" s="4" t="inlineStr">
        <is>
          <t>Do not place passwords, API keys, identity numbers, private contact details or confidential records in this workbook or on GitHub.</t>
        </is>
      </c>
    </row>
    <row r="11" ht="33.95" customHeight="1">
      <c r="A11" s="3" t="inlineStr">
        <is>
          <t>Phase Summary</t>
        </is>
      </c>
      <c r="B11" s="4" t="inlineStr">
        <is>
          <t>Provide a short summary of the phase, including achievements, outstanding work and participation concerns.</t>
        </is>
      </c>
      <c r="D11" s="5" t="inlineStr">
        <is>
          <t>6</t>
        </is>
      </c>
      <c r="E11" s="6" t="inlineStr">
        <is>
          <t>The confidential individual peer evaluation must be completed separately on Blackboard.</t>
        </is>
      </c>
    </row>
    <row r="12" ht="28.5" customHeight="1">
      <c r="A12" s="5" t="inlineStr">
        <is>
          <t>Group Reflection</t>
        </is>
      </c>
      <c r="B12" s="6" t="inlineStr">
        <is>
          <t>Complete one shared reflection after each phase. Be honest and specific.</t>
        </is>
      </c>
    </row>
    <row r="13" ht="15" customHeight="1">
      <c r="D13" s="40" t="inlineStr">
        <is>
          <t>Recommended Update Points</t>
        </is>
      </c>
    </row>
    <row r="14" ht="30" customHeight="1">
      <c r="D14" s="3" t="inlineStr">
        <is>
          <t>Unit 1 / Phase 1</t>
        </is>
      </c>
      <c r="E14" s="4" t="inlineStr">
        <is>
          <t>Planning, stakeholder engagement, requirements and initial SRS</t>
        </is>
      </c>
    </row>
    <row r="15" ht="15" customHeight="1">
      <c r="D15" s="3" t="inlineStr">
        <is>
          <t>Phase 2</t>
        </is>
      </c>
      <c r="E15" s="4" t="inlineStr">
        <is>
          <t>Architecture, UML, ERD and interface design</t>
        </is>
      </c>
    </row>
    <row r="16" ht="15" customHeight="1">
      <c r="D16" s="3" t="inlineStr">
        <is>
          <t>Phase 3</t>
        </is>
      </c>
      <c r="E16" s="4" t="inlineStr">
        <is>
          <t>Development, integration, testing and demonstration</t>
        </is>
      </c>
    </row>
    <row r="17" ht="15" customHeight="1">
      <c r="D17" s="5" t="inlineStr">
        <is>
          <t>Final</t>
        </is>
      </c>
      <c r="E17" s="6" t="inlineStr">
        <is>
          <t>Overall project summary and final reflection</t>
        </is>
      </c>
    </row>
  </sheetData>
  <mergeCells count="4">
    <mergeCell ref="A1:H1"/>
    <mergeCell ref="D5:H5"/>
    <mergeCell ref="A3:H3"/>
    <mergeCell ref="D13:H1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B12" sqref="B12"/>
    </sheetView>
  </sheetViews>
  <sheetFormatPr baseColWidth="8" defaultRowHeight="14.25"/>
  <cols>
    <col width="27" customWidth="1" min="1" max="1"/>
    <col width="42" customWidth="1" min="2" max="2"/>
    <col width="3" customWidth="1" min="3" max="5"/>
    <col width="26" customWidth="1" min="6" max="6"/>
    <col width="12" customWidth="1" min="7" max="7"/>
    <col width="3" customWidth="1" min="8" max="8"/>
    <col width="12" customWidth="1" min="9" max="12"/>
  </cols>
  <sheetData>
    <row r="1" ht="30" customHeight="1">
      <c r="A1" s="38" t="inlineStr">
        <is>
          <t>Project Overview and Progress Dashboard</t>
        </is>
      </c>
    </row>
    <row r="3" ht="15" customHeight="1">
      <c r="A3" s="35" t="inlineStr">
        <is>
          <t>Project Information</t>
        </is>
      </c>
      <c r="B3" s="36" t="inlineStr">
        <is>
          <t>Group Response</t>
        </is>
      </c>
      <c r="F3" s="35" t="inlineStr">
        <is>
          <t>Task Status</t>
        </is>
      </c>
      <c r="G3" s="36" t="inlineStr">
        <is>
          <t>Count</t>
        </is>
      </c>
    </row>
    <row r="4" ht="27.95" customHeight="1">
      <c r="A4" s="3" t="inlineStr">
        <is>
          <t>Group name or number</t>
        </is>
      </c>
      <c r="B4" s="7" t="inlineStr">
        <is>
          <t>Ctrl + Alt + Defeat</t>
        </is>
      </c>
      <c r="F4" s="3" t="inlineStr">
        <is>
          <t>Completed</t>
        </is>
      </c>
      <c r="G4" s="10">
        <f>COUNTIF('Task Progress'!H2:H101,"Completed")</f>
        <v/>
      </c>
    </row>
    <row r="5" ht="27.95" customHeight="1">
      <c r="A5" s="3" t="inlineStr">
        <is>
          <t>Project title</t>
        </is>
      </c>
      <c r="B5" s="29" t="inlineStr">
        <is>
          <t>Phehello Secondary Online Enrolment System</t>
        </is>
      </c>
      <c r="F5" s="3" t="inlineStr">
        <is>
          <t>In Progress</t>
        </is>
      </c>
      <c r="G5" s="10">
        <f>COUNTIF('Task Progress'!H2:H101,"In Progress")</f>
        <v/>
      </c>
    </row>
    <row r="6" ht="27.95" customHeight="1">
      <c r="A6" s="3" t="inlineStr">
        <is>
          <t>Stakeholder or organisation</t>
        </is>
      </c>
      <c r="B6" s="7" t="inlineStr">
        <is>
          <t>Phehello Secondary School</t>
        </is>
      </c>
      <c r="F6" s="3" t="inlineStr">
        <is>
          <t>Not Started</t>
        </is>
      </c>
      <c r="G6" s="10">
        <f>COUNTIF('Task Progress'!H2:H101,"Not Started")</f>
        <v/>
      </c>
    </row>
    <row r="7" ht="27.95" customHeight="1">
      <c r="A7" s="3" t="inlineStr">
        <is>
          <t>Group mentor</t>
        </is>
      </c>
      <c r="B7" s="7" t="inlineStr">
        <is>
          <t>Mr Elton Mokoduwe</t>
        </is>
      </c>
      <c r="F7" s="3" t="inlineStr">
        <is>
          <t>Delayed</t>
        </is>
      </c>
      <c r="G7" s="10">
        <f>COUNTIF('Task Progress'!H2:H101,"Delayed")</f>
        <v/>
      </c>
    </row>
    <row r="8" ht="27.95" customHeight="1">
      <c r="A8" s="3" t="inlineStr">
        <is>
          <t>Reporting phase</t>
        </is>
      </c>
      <c r="B8" s="7" t="inlineStr">
        <is>
          <t>Unit 3 / Phase 2</t>
        </is>
      </c>
      <c r="F8" s="3" t="inlineStr">
        <is>
          <t>Blocked</t>
        </is>
      </c>
      <c r="G8" s="10">
        <f>COUNTIF('Task Progress'!H2:H101,"Blocked")</f>
        <v/>
      </c>
    </row>
    <row r="9" ht="27.95" customHeight="1">
      <c r="A9" s="3" t="inlineStr">
        <is>
          <t>Reporting period</t>
        </is>
      </c>
      <c r="B9" s="7" t="inlineStr">
        <is>
          <t>7 September to 25 September</t>
        </is>
      </c>
      <c r="F9" s="5" t="inlineStr">
        <is>
          <t>Overdue</t>
        </is>
      </c>
      <c r="G9" s="11">
        <f>COUNTIF('Task Progress'!M2:M101,"Overdue")</f>
        <v/>
      </c>
    </row>
    <row r="10" ht="27.95" customHeight="1">
      <c r="A10" s="3" t="inlineStr">
        <is>
          <t>Overall status</t>
        </is>
      </c>
      <c r="B10" s="7" t="inlineStr">
        <is>
          <t>Completed</t>
        </is>
      </c>
    </row>
    <row r="11" ht="27.95" customHeight="1">
      <c r="A11" s="3" t="inlineStr">
        <is>
          <t>Overall % complete</t>
        </is>
      </c>
      <c r="B11" s="8" t="n">
        <v>1</v>
      </c>
      <c r="F11" s="35" t="inlineStr">
        <is>
          <t>Contribution Summary</t>
        </is>
      </c>
      <c r="G11" s="36" t="inlineStr">
        <is>
          <t>Count</t>
        </is>
      </c>
    </row>
    <row r="12" ht="48" customHeight="1">
      <c r="A12" s="3" t="inlineStr">
        <is>
          <t>Main achievement</t>
        </is>
      </c>
      <c r="B12" s="7" t="inlineStr">
        <is>
          <t>Updated the Complete SRS and The System Architecture and Design</t>
        </is>
      </c>
      <c r="F12" s="3" t="inlineStr">
        <is>
          <t>Contribution entries</t>
        </is>
      </c>
      <c r="G12" s="10">
        <f>COUNTIF('Individual Contributions'!E3:E201,"?*")</f>
        <v/>
      </c>
    </row>
    <row r="13" ht="48" customHeight="1">
      <c r="A13" s="3" t="inlineStr">
        <is>
          <t>Main challenge</t>
        </is>
      </c>
      <c r="B13" s="7" t="inlineStr">
        <is>
          <t>The Main Challenge was doing the figma interfaces</t>
        </is>
      </c>
      <c r="F13" s="3" t="inlineStr">
        <is>
          <t>Verified entries</t>
        </is>
      </c>
      <c r="G13" s="10">
        <f>COUNTIFS('Individual Contributions'!E3:E201,"?*",'Individual Contributions'!J3:J201,"Yes")</f>
        <v/>
      </c>
    </row>
    <row r="14" ht="48" customHeight="1">
      <c r="A14" s="5" t="inlineStr">
        <is>
          <t>Next planned activity</t>
        </is>
      </c>
      <c r="B14" s="9" t="inlineStr">
        <is>
          <t>Phase 2</t>
        </is>
      </c>
      <c r="F14" s="3" t="inlineStr">
        <is>
          <t>Unverified entries</t>
        </is>
      </c>
      <c r="G14" s="10">
        <f>COUNTIFS('Individual Contributions'!E3:E201,"?*",'Individual Contributions'!J3:J201,"No")</f>
        <v/>
      </c>
    </row>
    <row r="15" ht="15" customHeight="1">
      <c r="F15" s="5" t="inlineStr">
        <is>
          <t>Stakeholder engagements</t>
        </is>
      </c>
      <c r="G15" s="11">
        <f>COUNT('Stakeholder Engagement'!A3:A101)</f>
        <v/>
      </c>
    </row>
  </sheetData>
  <mergeCells count="1">
    <mergeCell ref="A1:L1"/>
  </mergeCells>
  <dataValidations count="2">
    <dataValidation sqref="B8" showDropDown="0" showInputMessage="0" showErrorMessage="0" allowBlank="0" type="list">
      <formula1>"Unit 1 / Phase 1,Phase 2,Phase 3,Final"</formula1>
    </dataValidation>
    <dataValidation sqref="B10" showDropDown="0" showInputMessage="0" showErrorMessage="0" allowBlank="0" type="list">
      <formula1>"Not Started,In Progress,Completed,Delayed,Blocked"</formula1>
    </dataValidation>
  </dataValidation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101"/>
  <sheetViews>
    <sheetView topLeftCell="C16" zoomScale="96" zoomScaleNormal="96" workbookViewId="0">
      <selection activeCell="K24" sqref="K24"/>
    </sheetView>
  </sheetViews>
  <sheetFormatPr baseColWidth="8" defaultRowHeight="14.25"/>
  <cols>
    <col width="12" customWidth="1" min="1" max="1"/>
    <col width="19" customWidth="1" min="2" max="2"/>
    <col width="15" customWidth="1" min="3" max="3"/>
    <col width="38" customWidth="1" min="4" max="4"/>
    <col width="24" customWidth="1" min="5" max="5"/>
    <col width="12" customWidth="1" min="6" max="7"/>
    <col width="15" customWidth="1" min="8" max="8"/>
    <col width="12" customWidth="1" min="9" max="9"/>
    <col width="34" customWidth="1" min="10" max="10"/>
    <col width="16" customWidth="1" min="11" max="11"/>
    <col width="32" customWidth="1" min="12" max="12"/>
    <col width="14" customWidth="1" min="13" max="13"/>
  </cols>
  <sheetData>
    <row r="1" ht="30" customHeight="1">
      <c r="A1" s="38" t="inlineStr">
        <is>
          <t>Task Progress Tracker</t>
        </is>
      </c>
    </row>
    <row r="2" ht="30" customHeight="1">
      <c r="A2" s="35" t="inlineStr">
        <is>
          <t>Task ID</t>
        </is>
      </c>
      <c r="B2" s="15" t="inlineStr">
        <is>
          <t>Reporting Phase</t>
        </is>
      </c>
      <c r="C2" s="15" t="inlineStr">
        <is>
          <t>Activity</t>
        </is>
      </c>
      <c r="D2" s="15" t="inlineStr">
        <is>
          <t>Task Description</t>
        </is>
      </c>
      <c r="E2" s="15" t="inlineStr">
        <is>
          <t>Assigned Student</t>
        </is>
      </c>
      <c r="F2" s="15" t="inlineStr">
        <is>
          <t>Start Date</t>
        </is>
      </c>
      <c r="G2" s="15" t="inlineStr">
        <is>
          <t>Due Date</t>
        </is>
      </c>
      <c r="H2" s="15" t="inlineStr">
        <is>
          <t>Status</t>
        </is>
      </c>
      <c r="I2" s="15" t="inlineStr">
        <is>
          <t>% Complete</t>
        </is>
      </c>
      <c r="J2" s="15" t="inlineStr">
        <is>
          <t>Evidence / Link</t>
        </is>
      </c>
      <c r="K2" s="15" t="inlineStr">
        <is>
          <t>Verified by Group</t>
        </is>
      </c>
      <c r="L2" s="15" t="inlineStr">
        <is>
          <t>Lecturer Comment</t>
        </is>
      </c>
      <c r="M2" s="36" t="inlineStr">
        <is>
          <t>Progress Flag</t>
        </is>
      </c>
    </row>
    <row r="3" ht="57" customHeight="1">
      <c r="A3" s="16" t="inlineStr">
        <is>
          <t>1.1</t>
        </is>
      </c>
      <c r="B3" s="12" t="inlineStr">
        <is>
          <t>Unit 1 / Phase 1</t>
        </is>
      </c>
      <c r="C3" s="12" t="inlineStr">
        <is>
          <t>Stakeholder engagement &amp; problem identification</t>
        </is>
      </c>
      <c r="D3" s="12" t="inlineStr">
        <is>
          <t>Initial engagement with the stakeholder to identify the current enrolment problem and understand the need for the proposed system.</t>
        </is>
      </c>
      <c r="E3" s="12" t="inlineStr">
        <is>
          <t>David Adegbola</t>
        </is>
      </c>
      <c r="F3" s="13" t="n">
        <v>46251</v>
      </c>
      <c r="G3" s="13" t="n">
        <v>46255</v>
      </c>
      <c r="H3" s="12" t="inlineStr">
        <is>
          <t>Completed</t>
        </is>
      </c>
      <c r="I3" s="14" t="n">
        <v>100</v>
      </c>
      <c r="J3" s="12" t="n"/>
      <c r="K3" s="12" t="inlineStr">
        <is>
          <t>Yes</t>
        </is>
      </c>
      <c r="L3" s="12" t="n"/>
      <c r="M3" s="17">
        <f>IF(D3="","",IF(H3="Completed","Completed",IF(H3="Blocked","Blocked",IF(H3="Delayed","Delayed",IF(AND(G3&lt;&gt;"",G3&lt;TODAY(),H3&lt;&gt;"Completed"),"Overdue","On Track")))))</f>
        <v/>
      </c>
    </row>
    <row r="4" ht="57" customHeight="1">
      <c r="A4" s="16" t="inlineStr">
        <is>
          <t>1.2</t>
        </is>
      </c>
      <c r="B4" s="12" t="inlineStr">
        <is>
          <t>Unit 1 / Phase 1</t>
        </is>
      </c>
      <c r="C4" s="12" t="inlineStr">
        <is>
          <t>Current-process analysis &amp; requirements gathering</t>
        </is>
      </c>
      <c r="D4" s="12" t="inlineStr">
        <is>
          <t>Analysed the existing enrolment process and gathered the initial requirements needed for the proposed online enrolment system</t>
        </is>
      </c>
      <c r="E4" s="12" t="inlineStr">
        <is>
          <t>Paballo Lebusa</t>
        </is>
      </c>
      <c r="F4" s="13" t="n">
        <v>46251</v>
      </c>
      <c r="G4" s="13" t="n">
        <v>46255</v>
      </c>
      <c r="H4" s="12" t="inlineStr">
        <is>
          <t>Completed</t>
        </is>
      </c>
      <c r="I4" s="14" t="n">
        <v>100</v>
      </c>
      <c r="J4" s="12" t="n"/>
      <c r="K4" s="12" t="inlineStr">
        <is>
          <t>Yes</t>
        </is>
      </c>
      <c r="L4" s="12" t="n"/>
      <c r="M4" s="17">
        <f>IF(D4="","",IF(H4="Completed","Completed",IF(H4="Blocked","Blocked",IF(H4="Delayed","Delayed",IF(AND(G4&lt;&gt;"",G4&lt;TODAY(),H4&lt;&gt;"Completed"),"Overdue","On Track")))))</f>
        <v/>
      </c>
    </row>
    <row r="5" ht="57" customHeight="1">
      <c r="A5" s="16" t="inlineStr">
        <is>
          <t>1.3</t>
        </is>
      </c>
      <c r="B5" s="12" t="inlineStr">
        <is>
          <t>Unit 1 / Phase 1</t>
        </is>
      </c>
      <c r="C5" s="12" t="inlineStr">
        <is>
          <t>Draft initial SRS</t>
        </is>
      </c>
      <c r="D5" s="12" t="inlineStr">
        <is>
          <t>Prepared the initial Software Requirements Specification based on the identified stakeholder problem, current process and gathered requirements.</t>
        </is>
      </c>
      <c r="E5" s="12" t="inlineStr">
        <is>
          <t>Mamello Lepitla</t>
        </is>
      </c>
      <c r="F5" s="13" t="n">
        <v>46254</v>
      </c>
      <c r="G5" s="13" t="n">
        <v>46254</v>
      </c>
      <c r="H5" s="12" t="inlineStr">
        <is>
          <t>Completed</t>
        </is>
      </c>
      <c r="I5" s="14" t="n">
        <v>100</v>
      </c>
      <c r="J5" s="12" t="n"/>
      <c r="K5" s="12" t="inlineStr">
        <is>
          <t>Yes</t>
        </is>
      </c>
      <c r="L5" s="12" t="n"/>
      <c r="M5" s="17">
        <f>IF(D5="","",IF(H5="Completed","Completed",IF(H5="Blocked","Blocked",IF(H5="Delayed","Delayed",IF(AND(G5&lt;&gt;"",G5&lt;TODAY(),H5&lt;&gt;"Completed"),"Overdue","On Track")))))</f>
        <v/>
      </c>
    </row>
    <row r="6" ht="57" customHeight="1">
      <c r="A6" s="16" t="inlineStr">
        <is>
          <t>1.4</t>
        </is>
      </c>
      <c r="B6" s="12" t="inlineStr">
        <is>
          <t>Unit 1 / Phase 1</t>
        </is>
      </c>
      <c r="C6" s="12" t="inlineStr">
        <is>
          <t>Formal Stakeholder interview</t>
        </is>
      </c>
      <c r="D6" s="12" t="inlineStr">
        <is>
          <t>Conducted a formal interview with the stakeholder to validate the existing enrolment process, identify challenges , and confirm system requirements.</t>
        </is>
      </c>
      <c r="E6" s="12" t="inlineStr">
        <is>
          <t>All</t>
        </is>
      </c>
      <c r="F6" s="13" t="n">
        <v>46258</v>
      </c>
      <c r="G6" s="13" t="n">
        <v>46258</v>
      </c>
      <c r="H6" s="12" t="inlineStr">
        <is>
          <t>Completed</t>
        </is>
      </c>
      <c r="I6" s="14" t="n">
        <v>100</v>
      </c>
      <c r="J6" s="12" t="n"/>
      <c r="K6" s="12" t="inlineStr">
        <is>
          <t>Yes</t>
        </is>
      </c>
      <c r="L6" s="12" t="n"/>
      <c r="M6" s="17">
        <f>IF(D6="","",IF(H6="Completed","Completed",IF(H6="Blocked","Blocked",IF(H6="Delayed","Delayed",IF(AND(G6&lt;&gt;"",G6&lt;TODAY(),H6&lt;&gt;"Completed"),"Overdue","On Track")))))</f>
        <v/>
      </c>
    </row>
    <row r="7" ht="57" customHeight="1">
      <c r="A7" s="16" t="inlineStr">
        <is>
          <t>1.5</t>
        </is>
      </c>
      <c r="B7" s="12" t="inlineStr">
        <is>
          <t>Unit 1 / Phase 1</t>
        </is>
      </c>
      <c r="C7" s="12" t="inlineStr">
        <is>
          <t>Update SRS with real interview findings</t>
        </is>
      </c>
      <c r="D7" s="12" t="inlineStr">
        <is>
          <t>Updated the SRS using the findings from the formal interview, including confirmed stakeholder needs, process information and system requirements.</t>
        </is>
      </c>
      <c r="E7" s="12" t="inlineStr">
        <is>
          <t>Mamello Lepitla</t>
        </is>
      </c>
      <c r="F7" s="13" t="n">
        <v>46258</v>
      </c>
      <c r="G7" s="13" t="n">
        <v>46260</v>
      </c>
      <c r="H7" s="12" t="inlineStr">
        <is>
          <t>Completed</t>
        </is>
      </c>
      <c r="I7" s="14" t="n">
        <v>100</v>
      </c>
      <c r="J7" s="12" t="n"/>
      <c r="K7" s="12" t="inlineStr">
        <is>
          <t>Yes</t>
        </is>
      </c>
      <c r="L7" s="12" t="n"/>
      <c r="M7" s="17">
        <f>IF(D7="","",IF(H7="Completed","Completed",IF(H7="Blocked","Blocked",IF(H7="Delayed","Delayed",IF(AND(G7&lt;&gt;"",G7&lt;TODAY(),H7&lt;&gt;"Completed"),"Overdue","On Track")))))</f>
        <v/>
      </c>
    </row>
    <row r="8" ht="42.75" customHeight="1">
      <c r="A8" s="16" t="inlineStr">
        <is>
          <t>1.6</t>
        </is>
      </c>
      <c r="B8" s="12" t="inlineStr">
        <is>
          <t>Unit 1 / Phase 1</t>
        </is>
      </c>
      <c r="C8" s="12" t="inlineStr">
        <is>
          <t>Set up GitHub repository</t>
        </is>
      </c>
      <c r="D8" s="12" t="inlineStr">
        <is>
          <t>Created the project GitHub repository for shared project documentation and development work.</t>
        </is>
      </c>
      <c r="E8" s="12" t="inlineStr">
        <is>
          <t>Katleho Makhoali</t>
        </is>
      </c>
      <c r="F8" s="13" t="n">
        <v>46256</v>
      </c>
      <c r="G8" s="13" t="n">
        <v>46256</v>
      </c>
      <c r="H8" s="12" t="inlineStr">
        <is>
          <t>Completed</t>
        </is>
      </c>
      <c r="I8" s="14" t="n">
        <v>100</v>
      </c>
      <c r="J8" s="12" t="n"/>
      <c r="K8" s="12" t="inlineStr">
        <is>
          <t>Yes</t>
        </is>
      </c>
      <c r="L8" s="12" t="n"/>
      <c r="M8" s="17">
        <f>IF(D8="","",IF(H8="Completed","Completed",IF(H8="Blocked","Blocked",IF(H8="Delayed","Delayed",IF(AND(G8&lt;&gt;"",G8&lt;TODAY(),H8&lt;&gt;"Completed"),"Overdue","On Track")))))</f>
        <v/>
      </c>
    </row>
    <row r="9" ht="28.5" customHeight="1">
      <c r="A9" s="16" t="inlineStr">
        <is>
          <t>1.7</t>
        </is>
      </c>
      <c r="B9" s="12" t="inlineStr">
        <is>
          <t>Unit 1 / Phase 1</t>
        </is>
      </c>
      <c r="C9" s="12" t="inlineStr">
        <is>
          <t>Setup Supabase project</t>
        </is>
      </c>
      <c r="D9" s="12" t="inlineStr">
        <is>
          <t>Created and configured the Supabase project for the system backend.</t>
        </is>
      </c>
      <c r="E9" s="12" t="inlineStr">
        <is>
          <t>Mamello Lepitla</t>
        </is>
      </c>
      <c r="F9" s="13" t="n">
        <v>46260</v>
      </c>
      <c r="G9" s="13" t="n">
        <v>46260</v>
      </c>
      <c r="H9" s="12" t="inlineStr">
        <is>
          <t>Completed</t>
        </is>
      </c>
      <c r="I9" s="14" t="n">
        <v>100</v>
      </c>
      <c r="J9" s="12" t="n"/>
      <c r="K9" s="12" t="inlineStr">
        <is>
          <t>No</t>
        </is>
      </c>
      <c r="L9" s="12" t="n"/>
      <c r="M9" s="17">
        <f>IF(D9="","",IF(H9="Completed","Completed",IF(H9="Blocked","Blocked",IF(H9="Delayed","Delayed",IF(AND(G9&lt;&gt;"",G9&lt;TODAY(),H9&lt;&gt;"Completed"),"Overdue","On Track")))))</f>
        <v/>
      </c>
    </row>
    <row r="10" ht="42.75" customHeight="1">
      <c r="A10" s="16" t="inlineStr">
        <is>
          <t>1.8</t>
        </is>
      </c>
      <c r="B10" s="12" t="inlineStr">
        <is>
          <t>Unit 1 / Phase 1</t>
        </is>
      </c>
      <c r="C10" s="12" t="inlineStr">
        <is>
          <t>Unit 1 Progress Checkpoint submitted</t>
        </is>
      </c>
      <c r="D10" s="12" t="inlineStr">
        <is>
          <t>Submitted the Unit 1 progress checkpoint containing required project progress materials.</t>
        </is>
      </c>
      <c r="E10" s="12" t="inlineStr">
        <is>
          <t>Katleho Makhoali</t>
        </is>
      </c>
      <c r="F10" s="13" t="n">
        <v>46260</v>
      </c>
      <c r="G10" s="13" t="n">
        <v>46260</v>
      </c>
      <c r="H10" s="12" t="inlineStr">
        <is>
          <t>Completed</t>
        </is>
      </c>
      <c r="I10" s="14" t="n">
        <v>100</v>
      </c>
      <c r="J10" s="12" t="n"/>
      <c r="K10" s="12" t="inlineStr">
        <is>
          <t>Yes</t>
        </is>
      </c>
      <c r="L10" s="12" t="n"/>
      <c r="M10" s="17">
        <f>IF(D10="","",IF(H10="Completed","Completed",IF(H10="Blocked","Blocked",IF(H10="Delayed","Delayed",IF(AND(G10&lt;&gt;"",G10&lt;TODAY(),H10&lt;&gt;"Completed"),"Overdue","On Track")))))</f>
        <v/>
      </c>
    </row>
    <row r="11" ht="42.75" customHeight="1">
      <c r="A11" s="16" t="inlineStr">
        <is>
          <t>1.9</t>
        </is>
      </c>
      <c r="B11" s="12" t="inlineStr">
        <is>
          <t>Unit 1 / Phase 1</t>
        </is>
      </c>
      <c r="C11" s="12" t="inlineStr">
        <is>
          <t>Feasibility study</t>
        </is>
      </c>
      <c r="D11" s="12" t="inlineStr">
        <is>
          <t>Completed the technical , operational , economic , schedule, legal, and ethical feasibility</t>
        </is>
      </c>
      <c r="E11" s="12" t="inlineStr">
        <is>
          <t>Lerato Mahlatsi, Paballo Lebusa</t>
        </is>
      </c>
      <c r="F11" s="13" t="n">
        <v>46258</v>
      </c>
      <c r="G11" s="13" t="n">
        <v>46262</v>
      </c>
      <c r="H11" s="12" t="inlineStr">
        <is>
          <t>Completed</t>
        </is>
      </c>
      <c r="I11" s="14" t="n">
        <v>100</v>
      </c>
      <c r="J11" s="12" t="n"/>
      <c r="K11" s="12" t="inlineStr">
        <is>
          <t>Yes</t>
        </is>
      </c>
      <c r="L11" s="12" t="n"/>
      <c r="M11" s="17">
        <f>IF(D11="","",IF(H11="Completed","Completed",IF(H11="Blocked","Blocked",IF(H11="Delayed","Delayed",IF(AND(G11&lt;&gt;"",G11&lt;TODAY(),H11&lt;&gt;"Completed"),"Overdue","On Track")))))</f>
        <v/>
      </c>
    </row>
    <row r="12" ht="42.75" customHeight="1">
      <c r="A12" s="16" t="inlineStr">
        <is>
          <t>1.10</t>
        </is>
      </c>
      <c r="B12" s="12" t="inlineStr">
        <is>
          <t>Unit 1 / Phase 1</t>
        </is>
      </c>
      <c r="C12" s="12" t="inlineStr">
        <is>
          <t>Risk register &amp; Mitigation planning</t>
        </is>
      </c>
      <c r="D12" s="12" t="inlineStr">
        <is>
          <t>Identified project risks and developed appropriate mitigation strategies</t>
        </is>
      </c>
      <c r="E12" s="12" t="inlineStr">
        <is>
          <t>Lerato Mahlatsi, Paballo Lebusa</t>
        </is>
      </c>
      <c r="F12" s="13" t="n">
        <v>46258</v>
      </c>
      <c r="G12" s="13" t="n">
        <v>46258</v>
      </c>
      <c r="H12" s="12" t="inlineStr">
        <is>
          <t>Completed</t>
        </is>
      </c>
      <c r="I12" s="14" t="n">
        <v>100</v>
      </c>
      <c r="J12" s="12" t="n"/>
      <c r="K12" s="12" t="inlineStr">
        <is>
          <t>Yes</t>
        </is>
      </c>
      <c r="L12" s="12" t="n"/>
      <c r="M12" s="17">
        <f>IF(D12="","",IF(H12="Completed","Completed",IF(H12="Blocked","Blocked",IF(H12="Delayed","Delayed",IF(AND(G12&lt;&gt;"",G12&lt;TODAY(),H12&lt;&gt;"Completed"),"Overdue","On Track")))))</f>
        <v/>
      </c>
    </row>
    <row r="13" ht="42.75" customHeight="1">
      <c r="A13" s="16" t="inlineStr">
        <is>
          <t>1.11</t>
        </is>
      </c>
      <c r="B13" s="12" t="inlineStr">
        <is>
          <t>Unit 1 / Phase 1</t>
        </is>
      </c>
      <c r="C13" s="12" t="inlineStr">
        <is>
          <t>Baseline Microsoft Project Schedule</t>
        </is>
      </c>
      <c r="D13" s="12" t="inlineStr">
        <is>
          <t>Created and baselined the Microsoft Project schedule showing project phases, tasks, dates, dependencies and responsibilities</t>
        </is>
      </c>
      <c r="E13" s="12" t="inlineStr">
        <is>
          <t>Paballo Lebusa</t>
        </is>
      </c>
      <c r="F13" s="13" t="n">
        <v>46261</v>
      </c>
      <c r="G13" s="13" t="n">
        <v>46262</v>
      </c>
      <c r="H13" s="12" t="inlineStr">
        <is>
          <t>Completed</t>
        </is>
      </c>
      <c r="I13" s="14" t="n">
        <v>100</v>
      </c>
      <c r="J13" s="12" t="n"/>
      <c r="K13" s="12" t="inlineStr">
        <is>
          <t>Yes</t>
        </is>
      </c>
      <c r="L13" s="12" t="n"/>
      <c r="M13" s="17">
        <f>IF(D13="","",IF(H13="Completed","Completed",IF(H13="Blocked","Blocked",IF(H13="Delayed","Delayed",IF(AND(G13&lt;&gt;"",G13&lt;TODAY(),H13&lt;&gt;"Completed"),"Overdue","On Track")))))</f>
        <v/>
      </c>
    </row>
    <row r="14" ht="42.75" customHeight="1">
      <c r="A14" s="16" t="inlineStr">
        <is>
          <t>1.12</t>
        </is>
      </c>
      <c r="B14" s="12" t="inlineStr">
        <is>
          <t>Unit 1 / Phase 1</t>
        </is>
      </c>
      <c r="C14" s="12" t="inlineStr">
        <is>
          <t>Compile Phase 1 Portfolio</t>
        </is>
      </c>
      <c r="D14" s="12" t="inlineStr">
        <is>
          <t>Compiled the Phase 1 portfolio containing the SRS , feasibility study, risk register and reflection.</t>
        </is>
      </c>
      <c r="E14" s="12" t="inlineStr">
        <is>
          <t>Mamello Lepitla</t>
        </is>
      </c>
      <c r="F14" s="13" t="n">
        <v>46260</v>
      </c>
      <c r="G14" s="13" t="n">
        <v>46265</v>
      </c>
      <c r="H14" s="12" t="inlineStr">
        <is>
          <t>Completed</t>
        </is>
      </c>
      <c r="I14" s="14" t="n">
        <v>100</v>
      </c>
      <c r="J14" s="12" t="n"/>
      <c r="K14" s="12" t="inlineStr">
        <is>
          <t>Yes</t>
        </is>
      </c>
      <c r="L14" s="12" t="n"/>
      <c r="M14" s="17">
        <f>IF(D14="","",IF(H14="Completed","Completed",IF(H14="Blocked","Blocked",IF(H14="Delayed","Delayed",IF(AND(G14&lt;&gt;"",G14&lt;TODAY(),H14&lt;&gt;"Completed"),"Overdue","On Track")))))</f>
        <v/>
      </c>
    </row>
    <row r="15" ht="42.75" customHeight="1">
      <c r="A15" s="16" t="inlineStr">
        <is>
          <t>1.13</t>
        </is>
      </c>
      <c r="B15" s="12" t="inlineStr">
        <is>
          <t>Unit 1 / Phase 1</t>
        </is>
      </c>
      <c r="C15" s="12" t="inlineStr">
        <is>
          <t>Group Phase 1 reflection</t>
        </is>
      </c>
      <c r="D15" s="12" t="inlineStr">
        <is>
          <t>Prepare the group's reflection on Phase 1, progress, contributions, challenges and lessons learned.</t>
        </is>
      </c>
      <c r="E15" s="12" t="inlineStr">
        <is>
          <t>Paballo Lebusa</t>
        </is>
      </c>
      <c r="F15" s="13" t="n">
        <v>46265</v>
      </c>
      <c r="G15" s="13" t="n">
        <v>46265</v>
      </c>
      <c r="H15" s="12" t="inlineStr">
        <is>
          <t>Completed</t>
        </is>
      </c>
      <c r="I15" s="14" t="n">
        <v>100</v>
      </c>
      <c r="J15" s="12" t="n"/>
      <c r="K15" s="12" t="inlineStr">
        <is>
          <t>Yes</t>
        </is>
      </c>
      <c r="L15" s="12" t="n"/>
      <c r="M15" s="17">
        <f>IF(D15="","",IF(H15="Completed","Completed",IF(H15="Blocked","Blocked",IF(H15="Delayed","Delayed",IF(AND(G15&lt;&gt;"",G15&lt;TODAY(),H15&lt;&gt;"Completed"),"Overdue","On Track")))))</f>
        <v/>
      </c>
    </row>
    <row r="16" ht="28.5" customHeight="1">
      <c r="A16" s="16" t="inlineStr">
        <is>
          <t>1.14</t>
        </is>
      </c>
      <c r="B16" s="12" t="inlineStr">
        <is>
          <t>Unit 1 / Phase 1</t>
        </is>
      </c>
      <c r="C16" s="12" t="inlineStr">
        <is>
          <t>Phase 1 Presentation</t>
        </is>
      </c>
      <c r="D16" s="12" t="inlineStr">
        <is>
          <t>Prepare and deliver the phase 1 assessment presentation and defence</t>
        </is>
      </c>
      <c r="E16" s="12" t="inlineStr">
        <is>
          <t>All</t>
        </is>
      </c>
      <c r="F16" s="13" t="n">
        <v>46265</v>
      </c>
      <c r="G16" s="13" t="n">
        <v>46269</v>
      </c>
      <c r="H16" s="12" t="inlineStr">
        <is>
          <t>Completed</t>
        </is>
      </c>
      <c r="I16" s="14" t="n">
        <v>100</v>
      </c>
      <c r="J16" s="12" t="n"/>
      <c r="K16" s="12" t="inlineStr">
        <is>
          <t>Yes</t>
        </is>
      </c>
      <c r="L16" s="12" t="n"/>
      <c r="M16" s="17">
        <f>IF(D16="","",IF(H16="Completed","Completed",IF(H16="Blocked","Blocked",IF(H16="Delayed","Delayed",IF(AND(G16&lt;&gt;"",G16&lt;TODAY(),H16&lt;&gt;"Completed"),"Overdue","On Track")))))</f>
        <v/>
      </c>
    </row>
    <row r="17" ht="42.75" customHeight="1">
      <c r="A17" s="16" t="n">
        <v>1.15</v>
      </c>
      <c r="B17" s="12" t="inlineStr">
        <is>
          <t>Unit 3 / Phase 2</t>
        </is>
      </c>
      <c r="C17" s="12" t="inlineStr">
        <is>
          <t>System Architecture Diagram</t>
        </is>
      </c>
      <c r="D17" s="12" t="inlineStr">
        <is>
          <t>Created the project system architecture design</t>
        </is>
      </c>
      <c r="E17" s="12" t="inlineStr">
        <is>
          <t>Paballo Lebusa</t>
        </is>
      </c>
      <c r="F17" s="13" t="n">
        <v>46272</v>
      </c>
      <c r="G17" s="13" t="n">
        <v>46274</v>
      </c>
      <c r="H17" s="12" t="inlineStr">
        <is>
          <t>Completed</t>
        </is>
      </c>
      <c r="I17" s="14" t="n">
        <v>100</v>
      </c>
      <c r="J17" s="12" t="n"/>
      <c r="K17" s="12" t="inlineStr">
        <is>
          <t>Yes</t>
        </is>
      </c>
      <c r="L17" s="12" t="n"/>
      <c r="M17" s="17">
        <f>IF(D17="","",IF(H17="Completed","Completed",IF(H17="Blocked","Blocked",IF(H17="Delayed","Delayed",IF(AND(G17&lt;&gt;"",G17&lt;TODAY(),H17&lt;&gt;"Completed"),"Overdue","On Track")))))</f>
        <v/>
      </c>
    </row>
    <row r="18" ht="28.5" customHeight="1">
      <c r="A18" s="16" t="n">
        <v>1.16</v>
      </c>
      <c r="B18" s="12" t="inlineStr">
        <is>
          <t>Unit 3 / Phase 2</t>
        </is>
      </c>
      <c r="C18" s="12" t="inlineStr">
        <is>
          <t>Use Case Diagram</t>
        </is>
      </c>
      <c r="D18" s="12" t="inlineStr">
        <is>
          <t>Design the projects Use Case Diagram</t>
        </is>
      </c>
      <c r="E18" s="12" t="inlineStr">
        <is>
          <t>Katleho Makhoali</t>
        </is>
      </c>
      <c r="F18" s="13" t="n">
        <v>46275</v>
      </c>
      <c r="G18" s="13" t="n">
        <v>46279</v>
      </c>
      <c r="H18" s="12" t="inlineStr">
        <is>
          <t>Completed</t>
        </is>
      </c>
      <c r="I18" s="14" t="n">
        <v>100</v>
      </c>
      <c r="J18" s="12" t="n"/>
      <c r="K18" s="12" t="inlineStr">
        <is>
          <t>Yes</t>
        </is>
      </c>
      <c r="L18" s="12" t="n"/>
      <c r="M18" s="17">
        <f>IF(D18="","",IF(H18="Completed","Completed",IF(H18="Blocked","Blocked",IF(H18="Delayed","Delayed",IF(AND(G18&lt;&gt;"",G18&lt;TODAY(),H18&lt;&gt;"Completed"),"Overdue","On Track")))))</f>
        <v/>
      </c>
    </row>
    <row r="19" ht="28.5" customHeight="1">
      <c r="A19" s="16" t="n">
        <v>1.17</v>
      </c>
      <c r="B19" s="12" t="inlineStr">
        <is>
          <t>Unit 3 / Phase 2</t>
        </is>
      </c>
      <c r="C19" s="12" t="inlineStr">
        <is>
          <t>Sequence Diagram</t>
        </is>
      </c>
      <c r="D19" s="12" t="inlineStr">
        <is>
          <t>Design the projects Sequence Diagram</t>
        </is>
      </c>
      <c r="E19" s="12" t="inlineStr">
        <is>
          <t>Mpho Motaung, David Adegbola</t>
        </is>
      </c>
      <c r="F19" s="13" t="n">
        <v>46274</v>
      </c>
      <c r="G19" s="13" t="n">
        <v>46279</v>
      </c>
      <c r="H19" s="12" t="inlineStr">
        <is>
          <t>Completed</t>
        </is>
      </c>
      <c r="I19" s="14" t="n">
        <v>100</v>
      </c>
      <c r="J19" s="12" t="n"/>
      <c r="K19" s="12" t="inlineStr">
        <is>
          <t>Yes</t>
        </is>
      </c>
      <c r="L19" s="12" t="n"/>
      <c r="M19" s="17">
        <f>IF(D19="","",IF(H19="Completed","Completed",IF(H19="Blocked","Blocked",IF(H19="Delayed","Delayed",IF(AND(G19&lt;&gt;"",G19&lt;TODAY(),H19&lt;&gt;"Completed"),"Overdue","On Track")))))</f>
        <v/>
      </c>
    </row>
    <row r="20" ht="42.75" customHeight="1">
      <c r="A20" s="16" t="n">
        <v>1.18</v>
      </c>
      <c r="B20" s="12" t="inlineStr">
        <is>
          <t>Unit 3 / Phase 2</t>
        </is>
      </c>
      <c r="C20" s="12" t="inlineStr">
        <is>
          <t>Entity Relationship Diagram</t>
        </is>
      </c>
      <c r="D20" s="12" t="inlineStr">
        <is>
          <t>Design the ERD</t>
        </is>
      </c>
      <c r="E20" s="12" t="inlineStr">
        <is>
          <t>Mamello Lepitla</t>
        </is>
      </c>
      <c r="F20" s="13" t="n">
        <v>46272</v>
      </c>
      <c r="G20" s="13" t="n">
        <v>46280</v>
      </c>
      <c r="H20" s="12" t="inlineStr">
        <is>
          <t>Completed</t>
        </is>
      </c>
      <c r="I20" s="14" t="n">
        <v>100</v>
      </c>
      <c r="J20" s="12" t="n"/>
      <c r="K20" s="12" t="inlineStr">
        <is>
          <t>Yes</t>
        </is>
      </c>
      <c r="L20" s="12" t="n"/>
      <c r="M20" s="17">
        <f>IF(D20="","",IF(H20="Completed","Completed",IF(H20="Blocked","Blocked",IF(H20="Delayed","Delayed",IF(AND(G20&lt;&gt;"",G20&lt;TODAY(),H20&lt;&gt;"Completed"),"Overdue","On Track")))))</f>
        <v/>
      </c>
    </row>
    <row r="21" ht="28.5" customHeight="1">
      <c r="A21" s="16" t="n">
        <v>1.19</v>
      </c>
      <c r="B21" s="12" t="inlineStr">
        <is>
          <t>Unit 3 / Phase 2</t>
        </is>
      </c>
      <c r="C21" s="12" t="inlineStr">
        <is>
          <t xml:space="preserve">Flutter interface designs </t>
        </is>
      </c>
      <c r="D21" s="12" t="inlineStr">
        <is>
          <t>Design the figma prototype for flutter</t>
        </is>
      </c>
      <c r="E21" s="12" t="inlineStr">
        <is>
          <t>Lerato Mahlatsi, Paballo Lebusa,Mamello Lepitla</t>
        </is>
      </c>
      <c r="F21" s="13" t="n">
        <v>46277</v>
      </c>
      <c r="G21" s="13" t="n">
        <v>46281</v>
      </c>
      <c r="H21" s="12" t="inlineStr">
        <is>
          <t>Completed</t>
        </is>
      </c>
      <c r="I21" s="14" t="n">
        <v>100</v>
      </c>
      <c r="J21" s="12" t="n"/>
      <c r="K21" s="12" t="inlineStr">
        <is>
          <t>Yes</t>
        </is>
      </c>
      <c r="L21" s="12" t="n"/>
      <c r="M21" s="17">
        <f>IF(D21="","",IF(H21="Completed","Completed",IF(H21="Blocked","Blocked",IF(H21="Delayed","Delayed",IF(AND(G21&lt;&gt;"",G21&lt;TODAY(),H21&lt;&gt;"Completed"),"Overdue","On Track")))))</f>
        <v/>
      </c>
    </row>
    <row r="22" ht="28.5" customHeight="1">
      <c r="A22" s="16" t="n">
        <v>1.2</v>
      </c>
      <c r="B22" s="12" t="inlineStr">
        <is>
          <t>Unit 3 / Phase 2</t>
        </is>
      </c>
      <c r="C22" s="12" t="inlineStr">
        <is>
          <t>ASP.NET interface design</t>
        </is>
      </c>
      <c r="D22" s="12" t="inlineStr">
        <is>
          <t>Design the figma prototype for ASP.net</t>
        </is>
      </c>
      <c r="E22" s="12" t="inlineStr">
        <is>
          <t>Lerato Mahlatsi, Paballo Lebusa,Mamello Lepitla</t>
        </is>
      </c>
      <c r="F22" s="13" t="n">
        <v>46281</v>
      </c>
      <c r="G22" s="13" t="n">
        <v>46285</v>
      </c>
      <c r="H22" s="12" t="inlineStr">
        <is>
          <t>Completed</t>
        </is>
      </c>
      <c r="I22" s="14" t="n">
        <v>100</v>
      </c>
      <c r="J22" s="12" t="n"/>
      <c r="K22" s="12" t="inlineStr">
        <is>
          <t>Yes</t>
        </is>
      </c>
      <c r="L22" s="12" t="n"/>
      <c r="M22" s="17">
        <f>IF(D22="","",IF(H22="Completed","Completed",IF(H22="Blocked","Blocked",IF(H22="Delayed","Delayed",IF(AND(G22&lt;&gt;"",G22&lt;TODAY(),H22&lt;&gt;"Completed"),"Overdue","On Track")))))</f>
        <v/>
      </c>
    </row>
    <row r="23" ht="28.5" customHeight="1">
      <c r="A23" s="16" t="n">
        <v>1.21</v>
      </c>
      <c r="B23" s="12" t="inlineStr">
        <is>
          <t>Unit 3 / Phase 2</t>
        </is>
      </c>
      <c r="C23" s="12" t="inlineStr">
        <is>
          <t>Stakeholder feedback</t>
        </is>
      </c>
      <c r="D23" s="12" t="inlineStr">
        <is>
          <t>Record the stakeholder feedback on the design</t>
        </is>
      </c>
      <c r="E23" s="12" t="inlineStr">
        <is>
          <t>David Adegbola</t>
        </is>
      </c>
      <c r="F23" s="13" t="n">
        <v>46279</v>
      </c>
      <c r="G23" s="13" t="n">
        <v>46281</v>
      </c>
      <c r="H23" s="12" t="inlineStr">
        <is>
          <t>Completed</t>
        </is>
      </c>
      <c r="I23" s="14" t="n">
        <v>100</v>
      </c>
      <c r="J23" s="12" t="n"/>
      <c r="K23" s="12" t="inlineStr">
        <is>
          <t>Yes</t>
        </is>
      </c>
      <c r="L23" s="12" t="n"/>
      <c r="M23" s="17">
        <f>IF(D23="","",IF(H23="Completed","Completed",IF(H23="Blocked","Blocked",IF(H23="Delayed","Delayed",IF(AND(G23&lt;&gt;"",G23&lt;TODAY(),H23&lt;&gt;"Completed"),"Overdue","On Track")))))</f>
        <v/>
      </c>
    </row>
    <row r="24">
      <c r="A24" s="16" t="n">
        <v>1.22</v>
      </c>
      <c r="B24" s="12" t="inlineStr">
        <is>
          <t>Unit 3 / Phase 2</t>
        </is>
      </c>
      <c r="C24" s="12" t="inlineStr">
        <is>
          <t>Microsoft project</t>
        </is>
      </c>
      <c r="D24" s="12" t="inlineStr">
        <is>
          <t>fill the MS project schedule for phase 2</t>
        </is>
      </c>
      <c r="E24" s="12" t="inlineStr">
        <is>
          <t>Paballo Lebusa</t>
        </is>
      </c>
      <c r="F24" s="13" t="n">
        <v>46279</v>
      </c>
      <c r="G24" s="13" t="n">
        <v>46279</v>
      </c>
      <c r="H24" s="12" t="inlineStr">
        <is>
          <t>Completed</t>
        </is>
      </c>
      <c r="I24" s="14" t="n">
        <v>100</v>
      </c>
      <c r="J24" s="12" t="n"/>
      <c r="K24" s="12" t="inlineStr">
        <is>
          <t>Yes</t>
        </is>
      </c>
      <c r="L24" s="12" t="n"/>
      <c r="M24" s="17">
        <f>IF(D24="","",IF(H24="Completed","Completed",IF(H24="Blocked","Blocked",IF(H24="Delayed","Delayed",IF(AND(G24&lt;&gt;"",G24&lt;TODAY(),H24&lt;&gt;"Completed"),"Overdue","On Track")))))</f>
        <v/>
      </c>
    </row>
    <row r="25">
      <c r="A25" s="16" t="n">
        <v>1.23</v>
      </c>
      <c r="B25" s="12" t="inlineStr">
        <is>
          <t>Unit 3 / Phase 2</t>
        </is>
      </c>
      <c r="C25" s="12" t="inlineStr">
        <is>
          <t>Github</t>
        </is>
      </c>
      <c r="D25" s="12" t="inlineStr">
        <is>
          <t>Do the github documentation</t>
        </is>
      </c>
      <c r="E25" s="12" t="inlineStr">
        <is>
          <t>Katleho Makhoali</t>
        </is>
      </c>
      <c r="F25" s="13" t="n">
        <v>46282</v>
      </c>
      <c r="G25" s="13" t="n">
        <v>46283</v>
      </c>
      <c r="H25" s="12" t="inlineStr">
        <is>
          <t>Completed</t>
        </is>
      </c>
      <c r="I25" s="14" t="n">
        <v>100</v>
      </c>
      <c r="J25" s="12" t="n"/>
      <c r="K25" s="12" t="inlineStr">
        <is>
          <t>Yes</t>
        </is>
      </c>
      <c r="L25" s="12" t="n"/>
      <c r="M25" s="17">
        <f>IF(D25="","",IF(H25="Completed","Completed",IF(H25="Blocked","Blocked",IF(H25="Delayed","Delayed",IF(AND(G25&lt;&gt;"",G25&lt;TODAY(),H25&lt;&gt;"Completed"),"Overdue","On Track")))))</f>
        <v/>
      </c>
    </row>
    <row r="26" ht="28.5" customHeight="1">
      <c r="A26" s="16" t="n">
        <v>1.24</v>
      </c>
      <c r="B26" s="12" t="inlineStr">
        <is>
          <t>Unit 3 / Phase 2</t>
        </is>
      </c>
      <c r="C26" s="12" t="inlineStr">
        <is>
          <t>Project progress tracker</t>
        </is>
      </c>
      <c r="D26" s="12" t="inlineStr">
        <is>
          <t>Fill in The tracker for phase 2</t>
        </is>
      </c>
      <c r="E26" s="12" t="inlineStr">
        <is>
          <t>Paballo Lebusa</t>
        </is>
      </c>
      <c r="F26" s="13" t="n">
        <v>46279</v>
      </c>
      <c r="G26" s="13" t="n">
        <v>46282</v>
      </c>
      <c r="H26" s="12" t="inlineStr">
        <is>
          <t>Completed</t>
        </is>
      </c>
      <c r="I26" s="14" t="n">
        <v>75</v>
      </c>
      <c r="J26" s="12" t="n"/>
      <c r="K26" s="12" t="inlineStr">
        <is>
          <t>Yes</t>
        </is>
      </c>
      <c r="L26" s="12" t="n"/>
      <c r="M26" s="17">
        <f>IF(D26="","",IF(H26="Completed","Completed",IF(H26="Blocked","Blocked",IF(H26="Delayed","Delayed",IF(AND(G26&lt;&gt;"",G26&lt;TODAY(),H26&lt;&gt;"Completed"),"Overdue","On Track")))))</f>
        <v/>
      </c>
    </row>
    <row r="27">
      <c r="A27" s="16" t="n">
        <v>1.25</v>
      </c>
      <c r="B27" s="12" t="inlineStr">
        <is>
          <t>Unit 3 / Phase 2</t>
        </is>
      </c>
      <c r="C27" s="12" t="inlineStr">
        <is>
          <t>Updated SRS</t>
        </is>
      </c>
      <c r="D27" s="12" t="inlineStr">
        <is>
          <t>Update the SRS for phase 2</t>
        </is>
      </c>
      <c r="E27" s="12" t="inlineStr">
        <is>
          <t>Mamello Lepitla</t>
        </is>
      </c>
      <c r="F27" s="13" t="n">
        <v>46272</v>
      </c>
      <c r="G27" s="13" t="n">
        <v>46287</v>
      </c>
      <c r="H27" s="12" t="inlineStr">
        <is>
          <t>Completed</t>
        </is>
      </c>
      <c r="I27" s="14" t="n">
        <v>100</v>
      </c>
      <c r="J27" s="12" t="n"/>
      <c r="K27" s="12" t="inlineStr">
        <is>
          <t>Yes</t>
        </is>
      </c>
      <c r="L27" s="12" t="n"/>
      <c r="M27" s="17">
        <f>IF(D27="","",IF(H27="Completed","Completed",IF(H27="Blocked","Blocked",IF(H27="Delayed","Delayed",IF(AND(G27&lt;&gt;"",G27&lt;TODAY(),H27&lt;&gt;"Completed"),"Overdue","On Track")))))</f>
        <v/>
      </c>
    </row>
    <row r="28">
      <c r="A28" s="16" t="n"/>
      <c r="B28" s="12" t="n"/>
      <c r="C28" s="12" t="n"/>
      <c r="D28" s="12" t="n"/>
      <c r="E28" s="12" t="n"/>
      <c r="F28" s="13" t="n"/>
      <c r="G28" s="13" t="n"/>
      <c r="H28" s="12" t="n"/>
      <c r="I28" s="14" t="n"/>
      <c r="J28" s="12" t="n"/>
      <c r="K28" s="12" t="n"/>
      <c r="L28" s="12" t="n"/>
      <c r="M28" s="17">
        <f>IF(D28="","",IF(H28="Completed","Completed",IF(H28="Blocked","Blocked",IF(H28="Delayed","Delayed",IF(AND(G28&lt;&gt;"",G28&lt;TODAY(),H28&lt;&gt;"Completed"),"Overdue","On Track")))))</f>
        <v/>
      </c>
    </row>
    <row r="29">
      <c r="A29" s="16" t="n"/>
      <c r="B29" s="12" t="n"/>
      <c r="C29" s="12" t="n"/>
      <c r="D29" s="12" t="n"/>
      <c r="E29" s="12" t="n"/>
      <c r="F29" s="13" t="n"/>
      <c r="G29" s="13" t="n"/>
      <c r="H29" s="12" t="n"/>
      <c r="I29" s="14" t="n"/>
      <c r="J29" s="12" t="n"/>
      <c r="K29" s="12" t="n"/>
      <c r="L29" s="12" t="n"/>
      <c r="M29" s="17">
        <f>IF(D29="","",IF(H29="Completed","Completed",IF(H29="Blocked","Blocked",IF(H29="Delayed","Delayed",IF(AND(G29&lt;&gt;"",G29&lt;TODAY(),H29&lt;&gt;"Completed"),"Overdue","On Track")))))</f>
        <v/>
      </c>
    </row>
    <row r="30">
      <c r="A30" s="16" t="n"/>
      <c r="B30" s="12" t="n"/>
      <c r="C30" s="12" t="n"/>
      <c r="D30" s="12" t="n"/>
      <c r="E30" s="12" t="n"/>
      <c r="F30" s="13" t="n"/>
      <c r="G30" s="13" t="n"/>
      <c r="H30" s="12" t="n"/>
      <c r="I30" s="14" t="n"/>
      <c r="J30" s="12" t="n"/>
      <c r="K30" s="12" t="n"/>
      <c r="L30" s="12" t="n"/>
      <c r="M30" s="17">
        <f>IF(D30="","",IF(H30="Completed","Completed",IF(H30="Blocked","Blocked",IF(H30="Delayed","Delayed",IF(AND(G30&lt;&gt;"",G30&lt;TODAY(),H30&lt;&gt;"Completed"),"Overdue","On Track")))))</f>
        <v/>
      </c>
    </row>
    <row r="31">
      <c r="A31" s="16" t="n"/>
      <c r="B31" s="12" t="n"/>
      <c r="C31" s="12" t="n"/>
      <c r="D31" s="12" t="n"/>
      <c r="E31" s="12" t="n"/>
      <c r="F31" s="13" t="n"/>
      <c r="G31" s="13" t="n"/>
      <c r="H31" s="12" t="n"/>
      <c r="I31" s="14" t="n"/>
      <c r="J31" s="12" t="n"/>
      <c r="K31" s="12" t="n"/>
      <c r="L31" s="12" t="n"/>
      <c r="M31" s="17">
        <f>IF(D31="","",IF(H31="Completed","Completed",IF(H31="Blocked","Blocked",IF(H31="Delayed","Delayed",IF(AND(G31&lt;&gt;"",G31&lt;TODAY(),H31&lt;&gt;"Completed"),"Overdue","On Track")))))</f>
        <v/>
      </c>
    </row>
    <row r="32">
      <c r="A32" s="16" t="n"/>
      <c r="B32" s="12" t="n"/>
      <c r="C32" s="12" t="n"/>
      <c r="D32" s="12" t="n"/>
      <c r="E32" s="12" t="n"/>
      <c r="F32" s="13" t="n"/>
      <c r="G32" s="13" t="n"/>
      <c r="H32" s="12" t="n"/>
      <c r="I32" s="14" t="n"/>
      <c r="J32" s="12" t="n"/>
      <c r="K32" s="12" t="n"/>
      <c r="L32" s="12" t="n"/>
      <c r="M32" s="17">
        <f>IF(D32="","",IF(H32="Completed","Completed",IF(H32="Blocked","Blocked",IF(H32="Delayed","Delayed",IF(AND(G32&lt;&gt;"",G32&lt;TODAY(),H32&lt;&gt;"Completed"),"Overdue","On Track")))))</f>
        <v/>
      </c>
    </row>
    <row r="33">
      <c r="A33" s="16" t="n"/>
      <c r="B33" s="12" t="n"/>
      <c r="C33" s="12" t="n"/>
      <c r="D33" s="12" t="n"/>
      <c r="E33" s="12" t="n"/>
      <c r="F33" s="13" t="n"/>
      <c r="G33" s="13" t="n"/>
      <c r="H33" s="12" t="n"/>
      <c r="I33" s="14" t="n"/>
      <c r="J33" s="12" t="n"/>
      <c r="K33" s="12" t="n"/>
      <c r="L33" s="12" t="n"/>
      <c r="M33" s="17">
        <f>IF(D33="","",IF(H33="Completed","Completed",IF(H33="Blocked","Blocked",IF(H33="Delayed","Delayed",IF(AND(G33&lt;&gt;"",G33&lt;TODAY(),H33&lt;&gt;"Completed"),"Overdue","On Track")))))</f>
        <v/>
      </c>
    </row>
    <row r="34">
      <c r="A34" s="16" t="n"/>
      <c r="B34" s="12" t="n"/>
      <c r="C34" s="12" t="n"/>
      <c r="D34" s="12" t="n"/>
      <c r="E34" s="12" t="n"/>
      <c r="F34" s="13" t="n"/>
      <c r="G34" s="13" t="n"/>
      <c r="H34" s="12" t="n"/>
      <c r="I34" s="14" t="n"/>
      <c r="J34" s="12" t="n"/>
      <c r="K34" s="12" t="n"/>
      <c r="L34" s="12" t="n"/>
      <c r="M34" s="17">
        <f>IF(D34="","",IF(H34="Completed","Completed",IF(H34="Blocked","Blocked",IF(H34="Delayed","Delayed",IF(AND(G34&lt;&gt;"",G34&lt;TODAY(),H34&lt;&gt;"Completed"),"Overdue","On Track")))))</f>
        <v/>
      </c>
    </row>
    <row r="35">
      <c r="A35" s="16" t="n"/>
      <c r="B35" s="12" t="n"/>
      <c r="C35" s="12" t="n"/>
      <c r="D35" s="12" t="n"/>
      <c r="E35" s="12" t="n"/>
      <c r="F35" s="13" t="n"/>
      <c r="G35" s="13" t="n"/>
      <c r="H35" s="12" t="n"/>
      <c r="I35" s="14" t="n"/>
      <c r="J35" s="12" t="n"/>
      <c r="K35" s="12" t="n"/>
      <c r="L35" s="12" t="n"/>
      <c r="M35" s="17">
        <f>IF(D35="","",IF(H35="Completed","Completed",IF(H35="Blocked","Blocked",IF(H35="Delayed","Delayed",IF(AND(G35&lt;&gt;"",G35&lt;TODAY(),H35&lt;&gt;"Completed"),"Overdue","On Track")))))</f>
        <v/>
      </c>
    </row>
    <row r="36">
      <c r="A36" s="16" t="n"/>
      <c r="B36" s="12" t="n"/>
      <c r="C36" s="12" t="n"/>
      <c r="D36" s="12" t="n"/>
      <c r="E36" s="12" t="n"/>
      <c r="F36" s="13" t="n"/>
      <c r="G36" s="13" t="n"/>
      <c r="H36" s="12" t="n"/>
      <c r="I36" s="14" t="n"/>
      <c r="J36" s="12" t="n"/>
      <c r="K36" s="12" t="n"/>
      <c r="L36" s="12" t="n"/>
      <c r="M36" s="17">
        <f>IF(D36="","",IF(H36="Completed","Completed",IF(H36="Blocked","Blocked",IF(H36="Delayed","Delayed",IF(AND(G36&lt;&gt;"",G36&lt;TODAY(),H36&lt;&gt;"Completed"),"Overdue","On Track")))))</f>
        <v/>
      </c>
    </row>
    <row r="37">
      <c r="A37" s="16" t="n"/>
      <c r="B37" s="12" t="n"/>
      <c r="C37" s="12" t="n"/>
      <c r="D37" s="12" t="n"/>
      <c r="E37" s="12" t="n"/>
      <c r="F37" s="13" t="n"/>
      <c r="G37" s="13" t="n"/>
      <c r="H37" s="12" t="n"/>
      <c r="I37" s="14" t="n"/>
      <c r="J37" s="12" t="n"/>
      <c r="K37" s="12" t="n"/>
      <c r="L37" s="12" t="n"/>
      <c r="M37" s="17">
        <f>IF(D37="","",IF(H37="Completed","Completed",IF(H37="Blocked","Blocked",IF(H37="Delayed","Delayed",IF(AND(G37&lt;&gt;"",G37&lt;TODAY(),H37&lt;&gt;"Completed"),"Overdue","On Track")))))</f>
        <v/>
      </c>
    </row>
    <row r="38">
      <c r="A38" s="16" t="n"/>
      <c r="B38" s="12" t="n"/>
      <c r="C38" s="12" t="n"/>
      <c r="D38" s="12" t="n"/>
      <c r="E38" s="12" t="n"/>
      <c r="F38" s="13" t="n"/>
      <c r="G38" s="13" t="n"/>
      <c r="H38" s="12" t="n"/>
      <c r="I38" s="14" t="n"/>
      <c r="J38" s="12" t="n"/>
      <c r="K38" s="12" t="n"/>
      <c r="L38" s="12" t="n"/>
      <c r="M38" s="17">
        <f>IF(D38="","",IF(H38="Completed","Completed",IF(H38="Blocked","Blocked",IF(H38="Delayed","Delayed",IF(AND(G38&lt;&gt;"",G38&lt;TODAY(),H38&lt;&gt;"Completed"),"Overdue","On Track")))))</f>
        <v/>
      </c>
    </row>
    <row r="39">
      <c r="A39" s="16" t="n"/>
      <c r="B39" s="12" t="n"/>
      <c r="C39" s="12" t="n"/>
      <c r="D39" s="12" t="n"/>
      <c r="E39" s="12" t="n"/>
      <c r="F39" s="13" t="n"/>
      <c r="G39" s="13" t="n"/>
      <c r="H39" s="12" t="n"/>
      <c r="I39" s="14" t="n"/>
      <c r="J39" s="12" t="n"/>
      <c r="K39" s="12" t="n"/>
      <c r="L39" s="12" t="n"/>
      <c r="M39" s="17">
        <f>IF(D39="","",IF(H39="Completed","Completed",IF(H39="Blocked","Blocked",IF(H39="Delayed","Delayed",IF(AND(G39&lt;&gt;"",G39&lt;TODAY(),H39&lt;&gt;"Completed"),"Overdue","On Track")))))</f>
        <v/>
      </c>
    </row>
    <row r="40">
      <c r="A40" s="16" t="n"/>
      <c r="B40" s="12" t="n"/>
      <c r="C40" s="12" t="n"/>
      <c r="D40" s="12" t="n"/>
      <c r="E40" s="12" t="n"/>
      <c r="F40" s="13" t="n"/>
      <c r="G40" s="13" t="n"/>
      <c r="H40" s="12" t="n"/>
      <c r="I40" s="14" t="n"/>
      <c r="J40" s="12" t="n"/>
      <c r="K40" s="12" t="n"/>
      <c r="L40" s="12" t="n"/>
      <c r="M40" s="17">
        <f>IF(D40="","",IF(H40="Completed","Completed",IF(H40="Blocked","Blocked",IF(H40="Delayed","Delayed",IF(AND(G40&lt;&gt;"",G40&lt;TODAY(),H40&lt;&gt;"Completed"),"Overdue","On Track")))))</f>
        <v/>
      </c>
    </row>
    <row r="41">
      <c r="A41" s="16" t="n"/>
      <c r="B41" s="12" t="n"/>
      <c r="C41" s="12" t="n"/>
      <c r="D41" s="12" t="n"/>
      <c r="E41" s="12" t="n"/>
      <c r="F41" s="13" t="n"/>
      <c r="G41" s="13" t="n"/>
      <c r="H41" s="12" t="n"/>
      <c r="I41" s="14" t="n"/>
      <c r="J41" s="12" t="n"/>
      <c r="K41" s="12" t="n"/>
      <c r="L41" s="12" t="n"/>
      <c r="M41" s="17">
        <f>IF(D41="","",IF(H41="Completed","Completed",IF(H41="Blocked","Blocked",IF(H41="Delayed","Delayed",IF(AND(G41&lt;&gt;"",G41&lt;TODAY(),H41&lt;&gt;"Completed"),"Overdue","On Track")))))</f>
        <v/>
      </c>
    </row>
    <row r="42">
      <c r="A42" s="16" t="n"/>
      <c r="B42" s="12" t="n"/>
      <c r="C42" s="12" t="n"/>
      <c r="D42" s="12" t="n"/>
      <c r="E42" s="12" t="n"/>
      <c r="F42" s="13" t="n"/>
      <c r="G42" s="13" t="n"/>
      <c r="H42" s="12" t="n"/>
      <c r="I42" s="14" t="n"/>
      <c r="J42" s="12" t="n"/>
      <c r="K42" s="12" t="n"/>
      <c r="L42" s="12" t="n"/>
      <c r="M42" s="17">
        <f>IF(D42="","",IF(H42="Completed","Completed",IF(H42="Blocked","Blocked",IF(H42="Delayed","Delayed",IF(AND(G42&lt;&gt;"",G42&lt;TODAY(),H42&lt;&gt;"Completed"),"Overdue","On Track")))))</f>
        <v/>
      </c>
    </row>
    <row r="43">
      <c r="A43" s="16" t="n"/>
      <c r="B43" s="12" t="n"/>
      <c r="C43" s="12" t="n"/>
      <c r="D43" s="12" t="n"/>
      <c r="E43" s="12" t="n"/>
      <c r="F43" s="13" t="n"/>
      <c r="G43" s="13" t="n"/>
      <c r="H43" s="12" t="n"/>
      <c r="I43" s="14" t="n"/>
      <c r="J43" s="12" t="n"/>
      <c r="K43" s="12" t="n"/>
      <c r="L43" s="12" t="n"/>
      <c r="M43" s="17">
        <f>IF(D43="","",IF(H43="Completed","Completed",IF(H43="Blocked","Blocked",IF(H43="Delayed","Delayed",IF(AND(G43&lt;&gt;"",G43&lt;TODAY(),H43&lt;&gt;"Completed"),"Overdue","On Track")))))</f>
        <v/>
      </c>
    </row>
    <row r="44">
      <c r="A44" s="16" t="n"/>
      <c r="B44" s="12" t="n"/>
      <c r="C44" s="12" t="n"/>
      <c r="D44" s="12" t="n"/>
      <c r="E44" s="12" t="n"/>
      <c r="F44" s="13" t="n"/>
      <c r="G44" s="13" t="n"/>
      <c r="H44" s="12" t="n"/>
      <c r="I44" s="14" t="n"/>
      <c r="J44" s="12" t="n"/>
      <c r="K44" s="12" t="n"/>
      <c r="L44" s="12" t="n"/>
      <c r="M44" s="17">
        <f>IF(D44="","",IF(H44="Completed","Completed",IF(H44="Blocked","Blocked",IF(H44="Delayed","Delayed",IF(AND(G44&lt;&gt;"",G44&lt;TODAY(),H44&lt;&gt;"Completed"),"Overdue","On Track")))))</f>
        <v/>
      </c>
    </row>
    <row r="45">
      <c r="A45" s="16" t="n"/>
      <c r="B45" s="12" t="n"/>
      <c r="C45" s="12" t="n"/>
      <c r="D45" s="12" t="n"/>
      <c r="E45" s="12" t="n"/>
      <c r="F45" s="13" t="n"/>
      <c r="G45" s="13" t="n"/>
      <c r="H45" s="12" t="n"/>
      <c r="I45" s="14" t="n"/>
      <c r="J45" s="12" t="n"/>
      <c r="K45" s="12" t="n"/>
      <c r="L45" s="12" t="n"/>
      <c r="M45" s="17">
        <f>IF(D45="","",IF(H45="Completed","Completed",IF(H45="Blocked","Blocked",IF(H45="Delayed","Delayed",IF(AND(G45&lt;&gt;"",G45&lt;TODAY(),H45&lt;&gt;"Completed"),"Overdue","On Track")))))</f>
        <v/>
      </c>
    </row>
    <row r="46">
      <c r="A46" s="16" t="n"/>
      <c r="B46" s="12" t="n"/>
      <c r="C46" s="12" t="n"/>
      <c r="D46" s="12" t="n"/>
      <c r="E46" s="12" t="n"/>
      <c r="F46" s="13" t="n"/>
      <c r="G46" s="13" t="n"/>
      <c r="H46" s="12" t="n"/>
      <c r="I46" s="14" t="n"/>
      <c r="J46" s="12" t="n"/>
      <c r="K46" s="12" t="n"/>
      <c r="L46" s="12" t="n"/>
      <c r="M46" s="17">
        <f>IF(D46="","",IF(H46="Completed","Completed",IF(H46="Blocked","Blocked",IF(H46="Delayed","Delayed",IF(AND(G46&lt;&gt;"",G46&lt;TODAY(),H46&lt;&gt;"Completed"),"Overdue","On Track")))))</f>
        <v/>
      </c>
    </row>
    <row r="47">
      <c r="A47" s="16" t="n"/>
      <c r="B47" s="12" t="n"/>
      <c r="C47" s="12" t="n"/>
      <c r="D47" s="12" t="n"/>
      <c r="E47" s="12" t="n"/>
      <c r="F47" s="13" t="n"/>
      <c r="G47" s="13" t="n"/>
      <c r="H47" s="12" t="n"/>
      <c r="I47" s="14" t="n"/>
      <c r="J47" s="12" t="n"/>
      <c r="K47" s="12" t="n"/>
      <c r="L47" s="12" t="n"/>
      <c r="M47" s="17">
        <f>IF(D47="","",IF(H47="Completed","Completed",IF(H47="Blocked","Blocked",IF(H47="Delayed","Delayed",IF(AND(G47&lt;&gt;"",G47&lt;TODAY(),H47&lt;&gt;"Completed"),"Overdue","On Track")))))</f>
        <v/>
      </c>
    </row>
    <row r="48">
      <c r="A48" s="16" t="n"/>
      <c r="B48" s="12" t="n"/>
      <c r="C48" s="12" t="n"/>
      <c r="D48" s="12" t="n"/>
      <c r="E48" s="12" t="n"/>
      <c r="F48" s="13" t="n"/>
      <c r="G48" s="13" t="n"/>
      <c r="H48" s="12" t="n"/>
      <c r="I48" s="14" t="n"/>
      <c r="J48" s="12" t="n"/>
      <c r="K48" s="12" t="n"/>
      <c r="L48" s="12" t="n"/>
      <c r="M48" s="17">
        <f>IF(D48="","",IF(H48="Completed","Completed",IF(H48="Blocked","Blocked",IF(H48="Delayed","Delayed",IF(AND(G48&lt;&gt;"",G48&lt;TODAY(),H48&lt;&gt;"Completed"),"Overdue","On Track")))))</f>
        <v/>
      </c>
    </row>
    <row r="49">
      <c r="A49" s="16" t="n"/>
      <c r="B49" s="12" t="n"/>
      <c r="C49" s="12" t="n"/>
      <c r="D49" s="12" t="n"/>
      <c r="E49" s="12" t="n"/>
      <c r="F49" s="13" t="n"/>
      <c r="G49" s="13" t="n"/>
      <c r="H49" s="12" t="n"/>
      <c r="I49" s="14" t="n"/>
      <c r="J49" s="12" t="n"/>
      <c r="K49" s="12" t="n"/>
      <c r="L49" s="12" t="n"/>
      <c r="M49" s="17">
        <f>IF(D49="","",IF(H49="Completed","Completed",IF(H49="Blocked","Blocked",IF(H49="Delayed","Delayed",IF(AND(G49&lt;&gt;"",G49&lt;TODAY(),H49&lt;&gt;"Completed"),"Overdue","On Track")))))</f>
        <v/>
      </c>
    </row>
    <row r="50">
      <c r="A50" s="16" t="n"/>
      <c r="B50" s="12" t="n"/>
      <c r="C50" s="12" t="n"/>
      <c r="D50" s="12" t="n"/>
      <c r="E50" s="12" t="n"/>
      <c r="F50" s="13" t="n"/>
      <c r="G50" s="13" t="n"/>
      <c r="H50" s="12" t="n"/>
      <c r="I50" s="14" t="n"/>
      <c r="J50" s="12" t="n"/>
      <c r="K50" s="12" t="n"/>
      <c r="L50" s="12" t="n"/>
      <c r="M50" s="17">
        <f>IF(D50="","",IF(H50="Completed","Completed",IF(H50="Blocked","Blocked",IF(H50="Delayed","Delayed",IF(AND(G50&lt;&gt;"",G50&lt;TODAY(),H50&lt;&gt;"Completed"),"Overdue","On Track")))))</f>
        <v/>
      </c>
    </row>
    <row r="51">
      <c r="A51" s="16" t="n"/>
      <c r="B51" s="12" t="n"/>
      <c r="C51" s="12" t="n"/>
      <c r="D51" s="12" t="n"/>
      <c r="E51" s="12" t="n"/>
      <c r="F51" s="13" t="n"/>
      <c r="G51" s="13" t="n"/>
      <c r="H51" s="12" t="n"/>
      <c r="I51" s="14" t="n"/>
      <c r="J51" s="12" t="n"/>
      <c r="K51" s="12" t="n"/>
      <c r="L51" s="12" t="n"/>
      <c r="M51" s="17">
        <f>IF(D51="","",IF(H51="Completed","Completed",IF(H51="Blocked","Blocked",IF(H51="Delayed","Delayed",IF(AND(G51&lt;&gt;"",G51&lt;TODAY(),H51&lt;&gt;"Completed"),"Overdue","On Track")))))</f>
        <v/>
      </c>
    </row>
    <row r="52">
      <c r="A52" s="16" t="n"/>
      <c r="B52" s="12" t="n"/>
      <c r="C52" s="12" t="n"/>
      <c r="D52" s="12" t="n"/>
      <c r="E52" s="12" t="n"/>
      <c r="F52" s="13" t="n"/>
      <c r="G52" s="13" t="n"/>
      <c r="H52" s="12" t="n"/>
      <c r="I52" s="14" t="n"/>
      <c r="J52" s="12" t="n"/>
      <c r="K52" s="12" t="n"/>
      <c r="L52" s="12" t="n"/>
      <c r="M52" s="17">
        <f>IF(D52="","",IF(H52="Completed","Completed",IF(H52="Blocked","Blocked",IF(H52="Delayed","Delayed",IF(AND(G52&lt;&gt;"",G52&lt;TODAY(),H52&lt;&gt;"Completed"),"Overdue","On Track")))))</f>
        <v/>
      </c>
    </row>
    <row r="53">
      <c r="A53" s="16" t="n"/>
      <c r="B53" s="12" t="n"/>
      <c r="C53" s="12" t="n"/>
      <c r="D53" s="12" t="n"/>
      <c r="E53" s="12" t="n"/>
      <c r="F53" s="13" t="n"/>
      <c r="G53" s="13" t="n"/>
      <c r="H53" s="12" t="n"/>
      <c r="I53" s="14" t="n"/>
      <c r="J53" s="12" t="n"/>
      <c r="K53" s="12" t="n"/>
      <c r="L53" s="12" t="n"/>
      <c r="M53" s="17">
        <f>IF(D53="","",IF(H53="Completed","Completed",IF(H53="Blocked","Blocked",IF(H53="Delayed","Delayed",IF(AND(G53&lt;&gt;"",G53&lt;TODAY(),H53&lt;&gt;"Completed"),"Overdue","On Track")))))</f>
        <v/>
      </c>
    </row>
    <row r="54">
      <c r="A54" s="16" t="n"/>
      <c r="B54" s="12" t="n"/>
      <c r="C54" s="12" t="n"/>
      <c r="D54" s="12" t="n"/>
      <c r="E54" s="12" t="n"/>
      <c r="F54" s="13" t="n"/>
      <c r="G54" s="13" t="n"/>
      <c r="H54" s="12" t="n"/>
      <c r="I54" s="14" t="n"/>
      <c r="J54" s="12" t="n"/>
      <c r="K54" s="12" t="n"/>
      <c r="L54" s="12" t="n"/>
      <c r="M54" s="17">
        <f>IF(D54="","",IF(H54="Completed","Completed",IF(H54="Blocked","Blocked",IF(H54="Delayed","Delayed",IF(AND(G54&lt;&gt;"",G54&lt;TODAY(),H54&lt;&gt;"Completed"),"Overdue","On Track")))))</f>
        <v/>
      </c>
    </row>
    <row r="55">
      <c r="A55" s="16" t="n"/>
      <c r="B55" s="12" t="n"/>
      <c r="C55" s="12" t="n"/>
      <c r="D55" s="12" t="n"/>
      <c r="E55" s="12" t="n"/>
      <c r="F55" s="13" t="n"/>
      <c r="G55" s="13" t="n"/>
      <c r="H55" s="12" t="n"/>
      <c r="I55" s="14" t="n"/>
      <c r="J55" s="12" t="n"/>
      <c r="K55" s="12" t="n"/>
      <c r="L55" s="12" t="n"/>
      <c r="M55" s="17">
        <f>IF(D55="","",IF(H55="Completed","Completed",IF(H55="Blocked","Blocked",IF(H55="Delayed","Delayed",IF(AND(G55&lt;&gt;"",G55&lt;TODAY(),H55&lt;&gt;"Completed"),"Overdue","On Track")))))</f>
        <v/>
      </c>
    </row>
    <row r="56">
      <c r="A56" s="16" t="n"/>
      <c r="B56" s="12" t="n"/>
      <c r="C56" s="12" t="n"/>
      <c r="D56" s="12" t="n"/>
      <c r="E56" s="12" t="n"/>
      <c r="F56" s="13" t="n"/>
      <c r="G56" s="13" t="n"/>
      <c r="H56" s="12" t="n"/>
      <c r="I56" s="14" t="n"/>
      <c r="J56" s="12" t="n"/>
      <c r="K56" s="12" t="n"/>
      <c r="L56" s="12" t="n"/>
      <c r="M56" s="17">
        <f>IF(D56="","",IF(H56="Completed","Completed",IF(H56="Blocked","Blocked",IF(H56="Delayed","Delayed",IF(AND(G56&lt;&gt;"",G56&lt;TODAY(),H56&lt;&gt;"Completed"),"Overdue","On Track")))))</f>
        <v/>
      </c>
    </row>
    <row r="57">
      <c r="A57" s="16" t="n"/>
      <c r="B57" s="12" t="n"/>
      <c r="C57" s="12" t="n"/>
      <c r="D57" s="12" t="n"/>
      <c r="E57" s="12" t="n"/>
      <c r="F57" s="13" t="n"/>
      <c r="G57" s="13" t="n"/>
      <c r="H57" s="12" t="n"/>
      <c r="I57" s="14" t="n"/>
      <c r="J57" s="12" t="n"/>
      <c r="K57" s="12" t="n"/>
      <c r="L57" s="12" t="n"/>
      <c r="M57" s="17">
        <f>IF(D57="","",IF(H57="Completed","Completed",IF(H57="Blocked","Blocked",IF(H57="Delayed","Delayed",IF(AND(G57&lt;&gt;"",G57&lt;TODAY(),H57&lt;&gt;"Completed"),"Overdue","On Track")))))</f>
        <v/>
      </c>
    </row>
    <row r="58">
      <c r="A58" s="16" t="n"/>
      <c r="B58" s="12" t="n"/>
      <c r="C58" s="12" t="n"/>
      <c r="D58" s="12" t="n"/>
      <c r="E58" s="12" t="n"/>
      <c r="F58" s="13" t="n"/>
      <c r="G58" s="13" t="n"/>
      <c r="H58" s="12" t="n"/>
      <c r="I58" s="14" t="n"/>
      <c r="J58" s="12" t="n"/>
      <c r="K58" s="12" t="n"/>
      <c r="L58" s="12" t="n"/>
      <c r="M58" s="17">
        <f>IF(D58="","",IF(H58="Completed","Completed",IF(H58="Blocked","Blocked",IF(H58="Delayed","Delayed",IF(AND(G58&lt;&gt;"",G58&lt;TODAY(),H58&lt;&gt;"Completed"),"Overdue","On Track")))))</f>
        <v/>
      </c>
    </row>
    <row r="59">
      <c r="A59" s="16" t="n"/>
      <c r="B59" s="12" t="n"/>
      <c r="C59" s="12" t="n"/>
      <c r="D59" s="12" t="n"/>
      <c r="E59" s="12" t="n"/>
      <c r="F59" s="13" t="n"/>
      <c r="G59" s="13" t="n"/>
      <c r="H59" s="12" t="n"/>
      <c r="I59" s="14" t="n"/>
      <c r="J59" s="12" t="n"/>
      <c r="K59" s="12" t="n"/>
      <c r="L59" s="12" t="n"/>
      <c r="M59" s="17">
        <f>IF(D59="","",IF(H59="Completed","Completed",IF(H59="Blocked","Blocked",IF(H59="Delayed","Delayed",IF(AND(G59&lt;&gt;"",G59&lt;TODAY(),H59&lt;&gt;"Completed"),"Overdue","On Track")))))</f>
        <v/>
      </c>
    </row>
    <row r="60">
      <c r="A60" s="16" t="n"/>
      <c r="B60" s="12" t="n"/>
      <c r="C60" s="12" t="n"/>
      <c r="D60" s="12" t="n"/>
      <c r="E60" s="12" t="n"/>
      <c r="F60" s="13" t="n"/>
      <c r="G60" s="13" t="n"/>
      <c r="H60" s="12" t="n"/>
      <c r="I60" s="14" t="n"/>
      <c r="J60" s="12" t="n"/>
      <c r="K60" s="12" t="n"/>
      <c r="L60" s="12" t="n"/>
      <c r="M60" s="17">
        <f>IF(D60="","",IF(H60="Completed","Completed",IF(H60="Blocked","Blocked",IF(H60="Delayed","Delayed",IF(AND(G60&lt;&gt;"",G60&lt;TODAY(),H60&lt;&gt;"Completed"),"Overdue","On Track")))))</f>
        <v/>
      </c>
    </row>
    <row r="61">
      <c r="A61" s="16" t="n"/>
      <c r="B61" s="12" t="n"/>
      <c r="C61" s="12" t="n"/>
      <c r="D61" s="12" t="n"/>
      <c r="E61" s="12" t="n"/>
      <c r="F61" s="13" t="n"/>
      <c r="G61" s="13" t="n"/>
      <c r="H61" s="12" t="n"/>
      <c r="I61" s="14" t="n"/>
      <c r="J61" s="12" t="n"/>
      <c r="K61" s="12" t="n"/>
      <c r="L61" s="12" t="n"/>
      <c r="M61" s="17">
        <f>IF(D61="","",IF(H61="Completed","Completed",IF(H61="Blocked","Blocked",IF(H61="Delayed","Delayed",IF(AND(G61&lt;&gt;"",G61&lt;TODAY(),H61&lt;&gt;"Completed"),"Overdue","On Track")))))</f>
        <v/>
      </c>
    </row>
    <row r="62">
      <c r="A62" s="16" t="n"/>
      <c r="B62" s="12" t="n"/>
      <c r="C62" s="12" t="n"/>
      <c r="D62" s="12" t="n"/>
      <c r="E62" s="12" t="n"/>
      <c r="F62" s="13" t="n"/>
      <c r="G62" s="13" t="n"/>
      <c r="H62" s="12" t="n"/>
      <c r="I62" s="14" t="n"/>
      <c r="J62" s="12" t="n"/>
      <c r="K62" s="12" t="n"/>
      <c r="L62" s="12" t="n"/>
      <c r="M62" s="17">
        <f>IF(D62="","",IF(H62="Completed","Completed",IF(H62="Blocked","Blocked",IF(H62="Delayed","Delayed",IF(AND(G62&lt;&gt;"",G62&lt;TODAY(),H62&lt;&gt;"Completed"),"Overdue","On Track")))))</f>
        <v/>
      </c>
    </row>
    <row r="63">
      <c r="A63" s="16" t="n"/>
      <c r="B63" s="12" t="n"/>
      <c r="C63" s="12" t="n"/>
      <c r="D63" s="12" t="n"/>
      <c r="E63" s="12" t="n"/>
      <c r="F63" s="13" t="n"/>
      <c r="G63" s="13" t="n"/>
      <c r="H63" s="12" t="n"/>
      <c r="I63" s="14" t="n"/>
      <c r="J63" s="12" t="n"/>
      <c r="K63" s="12" t="n"/>
      <c r="L63" s="12" t="n"/>
      <c r="M63" s="17">
        <f>IF(D63="","",IF(H63="Completed","Completed",IF(H63="Blocked","Blocked",IF(H63="Delayed","Delayed",IF(AND(G63&lt;&gt;"",G63&lt;TODAY(),H63&lt;&gt;"Completed"),"Overdue","On Track")))))</f>
        <v/>
      </c>
    </row>
    <row r="64">
      <c r="A64" s="16" t="n"/>
      <c r="B64" s="12" t="n"/>
      <c r="C64" s="12" t="n"/>
      <c r="D64" s="12" t="n"/>
      <c r="E64" s="12" t="n"/>
      <c r="F64" s="13" t="n"/>
      <c r="G64" s="13" t="n"/>
      <c r="H64" s="12" t="n"/>
      <c r="I64" s="14" t="n"/>
      <c r="J64" s="12" t="n"/>
      <c r="K64" s="12" t="n"/>
      <c r="L64" s="12" t="n"/>
      <c r="M64" s="17">
        <f>IF(D64="","",IF(H64="Completed","Completed",IF(H64="Blocked","Blocked",IF(H64="Delayed","Delayed",IF(AND(G64&lt;&gt;"",G64&lt;TODAY(),H64&lt;&gt;"Completed"),"Overdue","On Track")))))</f>
        <v/>
      </c>
    </row>
    <row r="65">
      <c r="A65" s="16" t="n"/>
      <c r="B65" s="12" t="n"/>
      <c r="C65" s="12" t="n"/>
      <c r="D65" s="12" t="n"/>
      <c r="E65" s="12" t="n"/>
      <c r="F65" s="13" t="n"/>
      <c r="G65" s="13" t="n"/>
      <c r="H65" s="12" t="n"/>
      <c r="I65" s="14" t="n"/>
      <c r="J65" s="12" t="n"/>
      <c r="K65" s="12" t="n"/>
      <c r="L65" s="12" t="n"/>
      <c r="M65" s="17">
        <f>IF(D65="","",IF(H65="Completed","Completed",IF(H65="Blocked","Blocked",IF(H65="Delayed","Delayed",IF(AND(G65&lt;&gt;"",G65&lt;TODAY(),H65&lt;&gt;"Completed"),"Overdue","On Track")))))</f>
        <v/>
      </c>
    </row>
    <row r="66">
      <c r="A66" s="16" t="n"/>
      <c r="B66" s="12" t="n"/>
      <c r="C66" s="12" t="n"/>
      <c r="D66" s="12" t="n"/>
      <c r="E66" s="12" t="n"/>
      <c r="F66" s="13" t="n"/>
      <c r="G66" s="13" t="n"/>
      <c r="H66" s="12" t="n"/>
      <c r="I66" s="14" t="n"/>
      <c r="J66" s="12" t="n"/>
      <c r="K66" s="12" t="n"/>
      <c r="L66" s="12" t="n"/>
      <c r="M66" s="17">
        <f>IF(D66="","",IF(H66="Completed","Completed",IF(H66="Blocked","Blocked",IF(H66="Delayed","Delayed",IF(AND(G66&lt;&gt;"",G66&lt;TODAY(),H66&lt;&gt;"Completed"),"Overdue","On Track")))))</f>
        <v/>
      </c>
    </row>
    <row r="67">
      <c r="A67" s="16" t="n"/>
      <c r="B67" s="12" t="n"/>
      <c r="C67" s="12" t="n"/>
      <c r="D67" s="12" t="n"/>
      <c r="E67" s="12" t="n"/>
      <c r="F67" s="13" t="n"/>
      <c r="G67" s="13" t="n"/>
      <c r="H67" s="12" t="n"/>
      <c r="I67" s="14" t="n"/>
      <c r="J67" s="12" t="n"/>
      <c r="K67" s="12" t="n"/>
      <c r="L67" s="12" t="n"/>
      <c r="M67" s="17">
        <f>IF(D67="","",IF(H67="Completed","Completed",IF(H67="Blocked","Blocked",IF(H67="Delayed","Delayed",IF(AND(G67&lt;&gt;"",G67&lt;TODAY(),H67&lt;&gt;"Completed"),"Overdue","On Track")))))</f>
        <v/>
      </c>
    </row>
    <row r="68">
      <c r="A68" s="16" t="n"/>
      <c r="B68" s="12" t="n"/>
      <c r="C68" s="12" t="n"/>
      <c r="D68" s="12" t="n"/>
      <c r="E68" s="12" t="n"/>
      <c r="F68" s="13" t="n"/>
      <c r="G68" s="13" t="n"/>
      <c r="H68" s="12" t="n"/>
      <c r="I68" s="14" t="n"/>
      <c r="J68" s="12" t="n"/>
      <c r="K68" s="12" t="n"/>
      <c r="L68" s="12" t="n"/>
      <c r="M68" s="17">
        <f>IF(D68="","",IF(H68="Completed","Completed",IF(H68="Blocked","Blocked",IF(H68="Delayed","Delayed",IF(AND(G68&lt;&gt;"",G68&lt;TODAY(),H68&lt;&gt;"Completed"),"Overdue","On Track")))))</f>
        <v/>
      </c>
    </row>
    <row r="69">
      <c r="A69" s="16" t="n"/>
      <c r="B69" s="12" t="n"/>
      <c r="C69" s="12" t="n"/>
      <c r="D69" s="12" t="n"/>
      <c r="E69" s="12" t="n"/>
      <c r="F69" s="13" t="n"/>
      <c r="G69" s="13" t="n"/>
      <c r="H69" s="12" t="n"/>
      <c r="I69" s="14" t="n"/>
      <c r="J69" s="12" t="n"/>
      <c r="K69" s="12" t="n"/>
      <c r="L69" s="12" t="n"/>
      <c r="M69" s="17">
        <f>IF(D69="","",IF(H69="Completed","Completed",IF(H69="Blocked","Blocked",IF(H69="Delayed","Delayed",IF(AND(G69&lt;&gt;"",G69&lt;TODAY(),H69&lt;&gt;"Completed"),"Overdue","On Track")))))</f>
        <v/>
      </c>
    </row>
    <row r="70">
      <c r="A70" s="16" t="n"/>
      <c r="B70" s="12" t="n"/>
      <c r="C70" s="12" t="n"/>
      <c r="D70" s="12" t="n"/>
      <c r="E70" s="12" t="n"/>
      <c r="F70" s="13" t="n"/>
      <c r="G70" s="13" t="n"/>
      <c r="H70" s="12" t="n"/>
      <c r="I70" s="14" t="n"/>
      <c r="J70" s="12" t="n"/>
      <c r="K70" s="12" t="n"/>
      <c r="L70" s="12" t="n"/>
      <c r="M70" s="17">
        <f>IF(D70="","",IF(H70="Completed","Completed",IF(H70="Blocked","Blocked",IF(H70="Delayed","Delayed",IF(AND(G70&lt;&gt;"",G70&lt;TODAY(),H70&lt;&gt;"Completed"),"Overdue","On Track")))))</f>
        <v/>
      </c>
    </row>
    <row r="71">
      <c r="A71" s="16" t="n"/>
      <c r="B71" s="12" t="n"/>
      <c r="C71" s="12" t="n"/>
      <c r="D71" s="12" t="n"/>
      <c r="E71" s="12" t="n"/>
      <c r="F71" s="13" t="n"/>
      <c r="G71" s="13" t="n"/>
      <c r="H71" s="12" t="n"/>
      <c r="I71" s="14" t="n"/>
      <c r="J71" s="12" t="n"/>
      <c r="K71" s="12" t="n"/>
      <c r="L71" s="12" t="n"/>
      <c r="M71" s="17">
        <f>IF(D71="","",IF(H71="Completed","Completed",IF(H71="Blocked","Blocked",IF(H71="Delayed","Delayed",IF(AND(G71&lt;&gt;"",G71&lt;TODAY(),H71&lt;&gt;"Completed"),"Overdue","On Track")))))</f>
        <v/>
      </c>
    </row>
    <row r="72">
      <c r="A72" s="16" t="n"/>
      <c r="B72" s="12" t="n"/>
      <c r="C72" s="12" t="n"/>
      <c r="D72" s="12" t="n"/>
      <c r="E72" s="12" t="n"/>
      <c r="F72" s="13" t="n"/>
      <c r="G72" s="13" t="n"/>
      <c r="H72" s="12" t="n"/>
      <c r="I72" s="14" t="n"/>
      <c r="J72" s="12" t="n"/>
      <c r="K72" s="12" t="n"/>
      <c r="L72" s="12" t="n"/>
      <c r="M72" s="17">
        <f>IF(D72="","",IF(H72="Completed","Completed",IF(H72="Blocked","Blocked",IF(H72="Delayed","Delayed",IF(AND(G72&lt;&gt;"",G72&lt;TODAY(),H72&lt;&gt;"Completed"),"Overdue","On Track")))))</f>
        <v/>
      </c>
    </row>
    <row r="73">
      <c r="A73" s="16" t="n"/>
      <c r="B73" s="12" t="n"/>
      <c r="C73" s="12" t="n"/>
      <c r="D73" s="12" t="n"/>
      <c r="E73" s="12" t="n"/>
      <c r="F73" s="13" t="n"/>
      <c r="G73" s="13" t="n"/>
      <c r="H73" s="12" t="n"/>
      <c r="I73" s="14" t="n"/>
      <c r="J73" s="12" t="n"/>
      <c r="K73" s="12" t="n"/>
      <c r="L73" s="12" t="n"/>
      <c r="M73" s="17">
        <f>IF(D73="","",IF(H73="Completed","Completed",IF(H73="Blocked","Blocked",IF(H73="Delayed","Delayed",IF(AND(G73&lt;&gt;"",G73&lt;TODAY(),H73&lt;&gt;"Completed"),"Overdue","On Track")))))</f>
        <v/>
      </c>
    </row>
    <row r="74">
      <c r="A74" s="16" t="n"/>
      <c r="B74" s="12" t="n"/>
      <c r="C74" s="12" t="n"/>
      <c r="D74" s="12" t="n"/>
      <c r="E74" s="12" t="n"/>
      <c r="F74" s="13" t="n"/>
      <c r="G74" s="13" t="n"/>
      <c r="H74" s="12" t="n"/>
      <c r="I74" s="14" t="n"/>
      <c r="J74" s="12" t="n"/>
      <c r="K74" s="12" t="n"/>
      <c r="L74" s="12" t="n"/>
      <c r="M74" s="17">
        <f>IF(D74="","",IF(H74="Completed","Completed",IF(H74="Blocked","Blocked",IF(H74="Delayed","Delayed",IF(AND(G74&lt;&gt;"",G74&lt;TODAY(),H74&lt;&gt;"Completed"),"Overdue","On Track")))))</f>
        <v/>
      </c>
    </row>
    <row r="75">
      <c r="A75" s="16" t="n"/>
      <c r="B75" s="12" t="n"/>
      <c r="C75" s="12" t="n"/>
      <c r="D75" s="12" t="n"/>
      <c r="E75" s="12" t="n"/>
      <c r="F75" s="13" t="n"/>
      <c r="G75" s="13" t="n"/>
      <c r="H75" s="12" t="n"/>
      <c r="I75" s="14" t="n"/>
      <c r="J75" s="12" t="n"/>
      <c r="K75" s="12" t="n"/>
      <c r="L75" s="12" t="n"/>
      <c r="M75" s="17">
        <f>IF(D75="","",IF(H75="Completed","Completed",IF(H75="Blocked","Blocked",IF(H75="Delayed","Delayed",IF(AND(G75&lt;&gt;"",G75&lt;TODAY(),H75&lt;&gt;"Completed"),"Overdue","On Track")))))</f>
        <v/>
      </c>
    </row>
    <row r="76">
      <c r="A76" s="16" t="n"/>
      <c r="B76" s="12" t="n"/>
      <c r="C76" s="12" t="n"/>
      <c r="D76" s="12" t="n"/>
      <c r="E76" s="12" t="n"/>
      <c r="F76" s="13" t="n"/>
      <c r="G76" s="13" t="n"/>
      <c r="H76" s="12" t="n"/>
      <c r="I76" s="14" t="n"/>
      <c r="J76" s="12" t="n"/>
      <c r="K76" s="12" t="n"/>
      <c r="L76" s="12" t="n"/>
      <c r="M76" s="17">
        <f>IF(D76="","",IF(H76="Completed","Completed",IF(H76="Blocked","Blocked",IF(H76="Delayed","Delayed",IF(AND(G76&lt;&gt;"",G76&lt;TODAY(),H76&lt;&gt;"Completed"),"Overdue","On Track")))))</f>
        <v/>
      </c>
    </row>
    <row r="77">
      <c r="A77" s="16" t="n"/>
      <c r="B77" s="12" t="n"/>
      <c r="C77" s="12" t="n"/>
      <c r="D77" s="12" t="n"/>
      <c r="E77" s="12" t="n"/>
      <c r="F77" s="13" t="n"/>
      <c r="G77" s="13" t="n"/>
      <c r="H77" s="12" t="n"/>
      <c r="I77" s="14" t="n"/>
      <c r="J77" s="12" t="n"/>
      <c r="K77" s="12" t="n"/>
      <c r="L77" s="12" t="n"/>
      <c r="M77" s="17">
        <f>IF(D77="","",IF(H77="Completed","Completed",IF(H77="Blocked","Blocked",IF(H77="Delayed","Delayed",IF(AND(G77&lt;&gt;"",G77&lt;TODAY(),H77&lt;&gt;"Completed"),"Overdue","On Track")))))</f>
        <v/>
      </c>
    </row>
    <row r="78">
      <c r="A78" s="16" t="n"/>
      <c r="B78" s="12" t="n"/>
      <c r="C78" s="12" t="n"/>
      <c r="D78" s="12" t="n"/>
      <c r="E78" s="12" t="n"/>
      <c r="F78" s="13" t="n"/>
      <c r="G78" s="13" t="n"/>
      <c r="H78" s="12" t="n"/>
      <c r="I78" s="14" t="n"/>
      <c r="J78" s="12" t="n"/>
      <c r="K78" s="12" t="n"/>
      <c r="L78" s="12" t="n"/>
      <c r="M78" s="17">
        <f>IF(D78="","",IF(H78="Completed","Completed",IF(H78="Blocked","Blocked",IF(H78="Delayed","Delayed",IF(AND(G78&lt;&gt;"",G78&lt;TODAY(),H78&lt;&gt;"Completed"),"Overdue","On Track")))))</f>
        <v/>
      </c>
    </row>
    <row r="79">
      <c r="A79" s="16" t="n"/>
      <c r="B79" s="12" t="n"/>
      <c r="C79" s="12" t="n"/>
      <c r="D79" s="12" t="n"/>
      <c r="E79" s="12" t="n"/>
      <c r="F79" s="13" t="n"/>
      <c r="G79" s="13" t="n"/>
      <c r="H79" s="12" t="n"/>
      <c r="I79" s="14" t="n"/>
      <c r="J79" s="12" t="n"/>
      <c r="K79" s="12" t="n"/>
      <c r="L79" s="12" t="n"/>
      <c r="M79" s="17">
        <f>IF(D79="","",IF(H79="Completed","Completed",IF(H79="Blocked","Blocked",IF(H79="Delayed","Delayed",IF(AND(G79&lt;&gt;"",G79&lt;TODAY(),H79&lt;&gt;"Completed"),"Overdue","On Track")))))</f>
        <v/>
      </c>
    </row>
    <row r="80">
      <c r="A80" s="16" t="n"/>
      <c r="B80" s="12" t="n"/>
      <c r="C80" s="12" t="n"/>
      <c r="D80" s="12" t="n"/>
      <c r="E80" s="12" t="n"/>
      <c r="F80" s="13" t="n"/>
      <c r="G80" s="13" t="n"/>
      <c r="H80" s="12" t="n"/>
      <c r="I80" s="14" t="n"/>
      <c r="J80" s="12" t="n"/>
      <c r="K80" s="12" t="n"/>
      <c r="L80" s="12" t="n"/>
      <c r="M80" s="17">
        <f>IF(D80="","",IF(H80="Completed","Completed",IF(H80="Blocked","Blocked",IF(H80="Delayed","Delayed",IF(AND(G80&lt;&gt;"",G80&lt;TODAY(),H80&lt;&gt;"Completed"),"Overdue","On Track")))))</f>
        <v/>
      </c>
    </row>
    <row r="81">
      <c r="A81" s="16" t="n"/>
      <c r="B81" s="12" t="n"/>
      <c r="C81" s="12" t="n"/>
      <c r="D81" s="12" t="n"/>
      <c r="E81" s="12" t="n"/>
      <c r="F81" s="13" t="n"/>
      <c r="G81" s="13" t="n"/>
      <c r="H81" s="12" t="n"/>
      <c r="I81" s="14" t="n"/>
      <c r="J81" s="12" t="n"/>
      <c r="K81" s="12" t="n"/>
      <c r="L81" s="12" t="n"/>
      <c r="M81" s="17">
        <f>IF(D81="","",IF(H81="Completed","Completed",IF(H81="Blocked","Blocked",IF(H81="Delayed","Delayed",IF(AND(G81&lt;&gt;"",G81&lt;TODAY(),H81&lt;&gt;"Completed"),"Overdue","On Track")))))</f>
        <v/>
      </c>
    </row>
    <row r="82">
      <c r="A82" s="16" t="n"/>
      <c r="B82" s="12" t="n"/>
      <c r="C82" s="12" t="n"/>
      <c r="D82" s="12" t="n"/>
      <c r="E82" s="12" t="n"/>
      <c r="F82" s="13" t="n"/>
      <c r="G82" s="13" t="n"/>
      <c r="H82" s="12" t="n"/>
      <c r="I82" s="14" t="n"/>
      <c r="J82" s="12" t="n"/>
      <c r="K82" s="12" t="n"/>
      <c r="L82" s="12" t="n"/>
      <c r="M82" s="17">
        <f>IF(D82="","",IF(H82="Completed","Completed",IF(H82="Blocked","Blocked",IF(H82="Delayed","Delayed",IF(AND(G82&lt;&gt;"",G82&lt;TODAY(),H82&lt;&gt;"Completed"),"Overdue","On Track")))))</f>
        <v/>
      </c>
    </row>
    <row r="83">
      <c r="A83" s="16" t="n"/>
      <c r="B83" s="12" t="n"/>
      <c r="C83" s="12" t="n"/>
      <c r="D83" s="12" t="n"/>
      <c r="E83" s="12" t="n"/>
      <c r="F83" s="13" t="n"/>
      <c r="G83" s="13" t="n"/>
      <c r="H83" s="12" t="n"/>
      <c r="I83" s="14" t="n"/>
      <c r="J83" s="12" t="n"/>
      <c r="K83" s="12" t="n"/>
      <c r="L83" s="12" t="n"/>
      <c r="M83" s="17">
        <f>IF(D83="","",IF(H83="Completed","Completed",IF(H83="Blocked","Blocked",IF(H83="Delayed","Delayed",IF(AND(G83&lt;&gt;"",G83&lt;TODAY(),H83&lt;&gt;"Completed"),"Overdue","On Track")))))</f>
        <v/>
      </c>
    </row>
    <row r="84">
      <c r="A84" s="16" t="n"/>
      <c r="B84" s="12" t="n"/>
      <c r="C84" s="12" t="n"/>
      <c r="D84" s="12" t="n"/>
      <c r="E84" s="12" t="n"/>
      <c r="F84" s="13" t="n"/>
      <c r="G84" s="13" t="n"/>
      <c r="H84" s="12" t="n"/>
      <c r="I84" s="14" t="n"/>
      <c r="J84" s="12" t="n"/>
      <c r="K84" s="12" t="n"/>
      <c r="L84" s="12" t="n"/>
      <c r="M84" s="17">
        <f>IF(D84="","",IF(H84="Completed","Completed",IF(H84="Blocked","Blocked",IF(H84="Delayed","Delayed",IF(AND(G84&lt;&gt;"",G84&lt;TODAY(),H84&lt;&gt;"Completed"),"Overdue","On Track")))))</f>
        <v/>
      </c>
    </row>
    <row r="85">
      <c r="A85" s="16" t="n"/>
      <c r="B85" s="12" t="n"/>
      <c r="C85" s="12" t="n"/>
      <c r="D85" s="12" t="n"/>
      <c r="E85" s="12" t="n"/>
      <c r="F85" s="13" t="n"/>
      <c r="G85" s="13" t="n"/>
      <c r="H85" s="12" t="n"/>
      <c r="I85" s="14" t="n"/>
      <c r="J85" s="12" t="n"/>
      <c r="K85" s="12" t="n"/>
      <c r="L85" s="12" t="n"/>
      <c r="M85" s="17">
        <f>IF(D85="","",IF(H85="Completed","Completed",IF(H85="Blocked","Blocked",IF(H85="Delayed","Delayed",IF(AND(G85&lt;&gt;"",G85&lt;TODAY(),H85&lt;&gt;"Completed"),"Overdue","On Track")))))</f>
        <v/>
      </c>
    </row>
    <row r="86">
      <c r="A86" s="16" t="n"/>
      <c r="B86" s="12" t="n"/>
      <c r="C86" s="12" t="n"/>
      <c r="D86" s="12" t="n"/>
      <c r="E86" s="12" t="n"/>
      <c r="F86" s="13" t="n"/>
      <c r="G86" s="13" t="n"/>
      <c r="H86" s="12" t="n"/>
      <c r="I86" s="14" t="n"/>
      <c r="J86" s="12" t="n"/>
      <c r="K86" s="12" t="n"/>
      <c r="L86" s="12" t="n"/>
      <c r="M86" s="17">
        <f>IF(D86="","",IF(H86="Completed","Completed",IF(H86="Blocked","Blocked",IF(H86="Delayed","Delayed",IF(AND(G86&lt;&gt;"",G86&lt;TODAY(),H86&lt;&gt;"Completed"),"Overdue","On Track")))))</f>
        <v/>
      </c>
    </row>
    <row r="87">
      <c r="A87" s="16" t="n"/>
      <c r="B87" s="12" t="n"/>
      <c r="C87" s="12" t="n"/>
      <c r="D87" s="12" t="n"/>
      <c r="E87" s="12" t="n"/>
      <c r="F87" s="13" t="n"/>
      <c r="G87" s="13" t="n"/>
      <c r="H87" s="12" t="n"/>
      <c r="I87" s="14" t="n"/>
      <c r="J87" s="12" t="n"/>
      <c r="K87" s="12" t="n"/>
      <c r="L87" s="12" t="n"/>
      <c r="M87" s="17">
        <f>IF(D87="","",IF(H87="Completed","Completed",IF(H87="Blocked","Blocked",IF(H87="Delayed","Delayed",IF(AND(G87&lt;&gt;"",G87&lt;TODAY(),H87&lt;&gt;"Completed"),"Overdue","On Track")))))</f>
        <v/>
      </c>
    </row>
    <row r="88">
      <c r="A88" s="16" t="n"/>
      <c r="B88" s="12" t="n"/>
      <c r="C88" s="12" t="n"/>
      <c r="D88" s="12" t="n"/>
      <c r="E88" s="12" t="n"/>
      <c r="F88" s="13" t="n"/>
      <c r="G88" s="13" t="n"/>
      <c r="H88" s="12" t="n"/>
      <c r="I88" s="14" t="n"/>
      <c r="J88" s="12" t="n"/>
      <c r="K88" s="12" t="n"/>
      <c r="L88" s="12" t="n"/>
      <c r="M88" s="17">
        <f>IF(D88="","",IF(H88="Completed","Completed",IF(H88="Blocked","Blocked",IF(H88="Delayed","Delayed",IF(AND(G88&lt;&gt;"",G88&lt;TODAY(),H88&lt;&gt;"Completed"),"Overdue","On Track")))))</f>
        <v/>
      </c>
    </row>
    <row r="89">
      <c r="A89" s="16" t="n"/>
      <c r="B89" s="12" t="n"/>
      <c r="C89" s="12" t="n"/>
      <c r="D89" s="12" t="n"/>
      <c r="E89" s="12" t="n"/>
      <c r="F89" s="13" t="n"/>
      <c r="G89" s="13" t="n"/>
      <c r="H89" s="12" t="n"/>
      <c r="I89" s="14" t="n"/>
      <c r="J89" s="12" t="n"/>
      <c r="K89" s="12" t="n"/>
      <c r="L89" s="12" t="n"/>
      <c r="M89" s="17">
        <f>IF(D89="","",IF(H89="Completed","Completed",IF(H89="Blocked","Blocked",IF(H89="Delayed","Delayed",IF(AND(G89&lt;&gt;"",G89&lt;TODAY(),H89&lt;&gt;"Completed"),"Overdue","On Track")))))</f>
        <v/>
      </c>
    </row>
    <row r="90">
      <c r="A90" s="16" t="n"/>
      <c r="B90" s="12" t="n"/>
      <c r="C90" s="12" t="n"/>
      <c r="D90" s="12" t="n"/>
      <c r="E90" s="12" t="n"/>
      <c r="F90" s="13" t="n"/>
      <c r="G90" s="13" t="n"/>
      <c r="H90" s="12" t="n"/>
      <c r="I90" s="14" t="n"/>
      <c r="J90" s="12" t="n"/>
      <c r="K90" s="12" t="n"/>
      <c r="L90" s="12" t="n"/>
      <c r="M90" s="17">
        <f>IF(D90="","",IF(H90="Completed","Completed",IF(H90="Blocked","Blocked",IF(H90="Delayed","Delayed",IF(AND(G90&lt;&gt;"",G90&lt;TODAY(),H90&lt;&gt;"Completed"),"Overdue","On Track")))))</f>
        <v/>
      </c>
    </row>
    <row r="91">
      <c r="A91" s="16" t="n"/>
      <c r="B91" s="12" t="n"/>
      <c r="C91" s="12" t="n"/>
      <c r="D91" s="12" t="n"/>
      <c r="E91" s="12" t="n"/>
      <c r="F91" s="13" t="n"/>
      <c r="G91" s="13" t="n"/>
      <c r="H91" s="12" t="n"/>
      <c r="I91" s="14" t="n"/>
      <c r="J91" s="12" t="n"/>
      <c r="K91" s="12" t="n"/>
      <c r="L91" s="12" t="n"/>
      <c r="M91" s="17">
        <f>IF(D91="","",IF(H91="Completed","Completed",IF(H91="Blocked","Blocked",IF(H91="Delayed","Delayed",IF(AND(G91&lt;&gt;"",G91&lt;TODAY(),H91&lt;&gt;"Completed"),"Overdue","On Track")))))</f>
        <v/>
      </c>
    </row>
    <row r="92">
      <c r="A92" s="16" t="n"/>
      <c r="B92" s="12" t="n"/>
      <c r="C92" s="12" t="n"/>
      <c r="D92" s="12" t="n"/>
      <c r="E92" s="12" t="n"/>
      <c r="F92" s="13" t="n"/>
      <c r="G92" s="13" t="n"/>
      <c r="H92" s="12" t="n"/>
      <c r="I92" s="14" t="n"/>
      <c r="J92" s="12" t="n"/>
      <c r="K92" s="12" t="n"/>
      <c r="L92" s="12" t="n"/>
      <c r="M92" s="17">
        <f>IF(D92="","",IF(H92="Completed","Completed",IF(H92="Blocked","Blocked",IF(H92="Delayed","Delayed",IF(AND(G92&lt;&gt;"",G92&lt;TODAY(),H92&lt;&gt;"Completed"),"Overdue","On Track")))))</f>
        <v/>
      </c>
    </row>
    <row r="93">
      <c r="A93" s="16" t="n"/>
      <c r="B93" s="12" t="n"/>
      <c r="C93" s="12" t="n"/>
      <c r="D93" s="12" t="n"/>
      <c r="E93" s="12" t="n"/>
      <c r="F93" s="13" t="n"/>
      <c r="G93" s="13" t="n"/>
      <c r="H93" s="12" t="n"/>
      <c r="I93" s="14" t="n"/>
      <c r="J93" s="12" t="n"/>
      <c r="K93" s="12" t="n"/>
      <c r="L93" s="12" t="n"/>
      <c r="M93" s="17">
        <f>IF(D93="","",IF(H93="Completed","Completed",IF(H93="Blocked","Blocked",IF(H93="Delayed","Delayed",IF(AND(G93&lt;&gt;"",G93&lt;TODAY(),H93&lt;&gt;"Completed"),"Overdue","On Track")))))</f>
        <v/>
      </c>
    </row>
    <row r="94">
      <c r="A94" s="16" t="n"/>
      <c r="B94" s="12" t="n"/>
      <c r="C94" s="12" t="n"/>
      <c r="D94" s="12" t="n"/>
      <c r="E94" s="12" t="n"/>
      <c r="F94" s="13" t="n"/>
      <c r="G94" s="13" t="n"/>
      <c r="H94" s="12" t="n"/>
      <c r="I94" s="14" t="n"/>
      <c r="J94" s="12" t="n"/>
      <c r="K94" s="12" t="n"/>
      <c r="L94" s="12" t="n"/>
      <c r="M94" s="17">
        <f>IF(D94="","",IF(H94="Completed","Completed",IF(H94="Blocked","Blocked",IF(H94="Delayed","Delayed",IF(AND(G94&lt;&gt;"",G94&lt;TODAY(),H94&lt;&gt;"Completed"),"Overdue","On Track")))))</f>
        <v/>
      </c>
    </row>
    <row r="95">
      <c r="A95" s="16" t="n"/>
      <c r="B95" s="12" t="n"/>
      <c r="C95" s="12" t="n"/>
      <c r="D95" s="12" t="n"/>
      <c r="E95" s="12" t="n"/>
      <c r="F95" s="13" t="n"/>
      <c r="G95" s="13" t="n"/>
      <c r="H95" s="12" t="n"/>
      <c r="I95" s="14" t="n"/>
      <c r="J95" s="12" t="n"/>
      <c r="K95" s="12" t="n"/>
      <c r="L95" s="12" t="n"/>
      <c r="M95" s="17">
        <f>IF(D95="","",IF(H95="Completed","Completed",IF(H95="Blocked","Blocked",IF(H95="Delayed","Delayed",IF(AND(G95&lt;&gt;"",G95&lt;TODAY(),H95&lt;&gt;"Completed"),"Overdue","On Track")))))</f>
        <v/>
      </c>
    </row>
    <row r="96">
      <c r="A96" s="16" t="n"/>
      <c r="B96" s="12" t="n"/>
      <c r="C96" s="12" t="n"/>
      <c r="D96" s="12" t="n"/>
      <c r="E96" s="12" t="n"/>
      <c r="F96" s="13" t="n"/>
      <c r="G96" s="13" t="n"/>
      <c r="H96" s="12" t="n"/>
      <c r="I96" s="14" t="n"/>
      <c r="J96" s="12" t="n"/>
      <c r="K96" s="12" t="n"/>
      <c r="L96" s="12" t="n"/>
      <c r="M96" s="17">
        <f>IF(D96="","",IF(H96="Completed","Completed",IF(H96="Blocked","Blocked",IF(H96="Delayed","Delayed",IF(AND(G96&lt;&gt;"",G96&lt;TODAY(),H96&lt;&gt;"Completed"),"Overdue","On Track")))))</f>
        <v/>
      </c>
    </row>
    <row r="97">
      <c r="A97" s="16" t="n"/>
      <c r="B97" s="12" t="n"/>
      <c r="C97" s="12" t="n"/>
      <c r="D97" s="12" t="n"/>
      <c r="E97" s="12" t="n"/>
      <c r="F97" s="13" t="n"/>
      <c r="G97" s="13" t="n"/>
      <c r="H97" s="12" t="n"/>
      <c r="I97" s="14" t="n"/>
      <c r="J97" s="12" t="n"/>
      <c r="K97" s="12" t="n"/>
      <c r="L97" s="12" t="n"/>
      <c r="M97" s="17">
        <f>IF(D97="","",IF(H97="Completed","Completed",IF(H97="Blocked","Blocked",IF(H97="Delayed","Delayed",IF(AND(G97&lt;&gt;"",G97&lt;TODAY(),H97&lt;&gt;"Completed"),"Overdue","On Track")))))</f>
        <v/>
      </c>
    </row>
    <row r="98">
      <c r="A98" s="16" t="n"/>
      <c r="B98" s="12" t="n"/>
      <c r="C98" s="12" t="n"/>
      <c r="D98" s="12" t="n"/>
      <c r="E98" s="12" t="n"/>
      <c r="F98" s="13" t="n"/>
      <c r="G98" s="13" t="n"/>
      <c r="H98" s="12" t="n"/>
      <c r="I98" s="14" t="n"/>
      <c r="J98" s="12" t="n"/>
      <c r="K98" s="12" t="n"/>
      <c r="L98" s="12" t="n"/>
      <c r="M98" s="17">
        <f>IF(D98="","",IF(H98="Completed","Completed",IF(H98="Blocked","Blocked",IF(H98="Delayed","Delayed",IF(AND(G98&lt;&gt;"",G98&lt;TODAY(),H98&lt;&gt;"Completed"),"Overdue","On Track")))))</f>
        <v/>
      </c>
    </row>
    <row r="99">
      <c r="A99" s="16" t="n"/>
      <c r="B99" s="12" t="n"/>
      <c r="C99" s="12" t="n"/>
      <c r="D99" s="12" t="n"/>
      <c r="E99" s="12" t="n"/>
      <c r="F99" s="13" t="n"/>
      <c r="G99" s="13" t="n"/>
      <c r="H99" s="12" t="n"/>
      <c r="I99" s="14" t="n"/>
      <c r="J99" s="12" t="n"/>
      <c r="K99" s="12" t="n"/>
      <c r="L99" s="12" t="n"/>
      <c r="M99" s="17">
        <f>IF(D99="","",IF(H99="Completed","Completed",IF(H99="Blocked","Blocked",IF(H99="Delayed","Delayed",IF(AND(G99&lt;&gt;"",G99&lt;TODAY(),H99&lt;&gt;"Completed"),"Overdue","On Track")))))</f>
        <v/>
      </c>
    </row>
    <row r="100">
      <c r="A100" s="16" t="n"/>
      <c r="B100" s="12" t="n"/>
      <c r="C100" s="12" t="n"/>
      <c r="D100" s="12" t="n"/>
      <c r="E100" s="12" t="n"/>
      <c r="F100" s="13" t="n"/>
      <c r="G100" s="13" t="n"/>
      <c r="H100" s="12" t="n"/>
      <c r="I100" s="14" t="n"/>
      <c r="J100" s="12" t="n"/>
      <c r="K100" s="12" t="n"/>
      <c r="L100" s="12" t="n"/>
      <c r="M100" s="17">
        <f>IF(D100="","",IF(H100="Completed","Completed",IF(H100="Blocked","Blocked",IF(H100="Delayed","Delayed",IF(AND(G100&lt;&gt;"",G100&lt;TODAY(),H100&lt;&gt;"Completed"),"Overdue","On Track")))))</f>
        <v/>
      </c>
    </row>
    <row r="101">
      <c r="A101" s="18" t="n"/>
      <c r="B101" s="19" t="n"/>
      <c r="C101" s="19" t="n"/>
      <c r="D101" s="19" t="n"/>
      <c r="E101" s="19" t="n"/>
      <c r="F101" s="20" t="n"/>
      <c r="G101" s="20" t="n"/>
      <c r="H101" s="19" t="n"/>
      <c r="I101" s="21" t="n"/>
      <c r="J101" s="19" t="n"/>
      <c r="K101" s="19" t="n"/>
      <c r="L101" s="19" t="n"/>
      <c r="M101" s="22">
        <f>IF(D101="","",IF(H101="Completed","Completed",IF(H101="Blocked","Blocked",IF(H101="Delayed","Delayed",IF(AND(G101&lt;&gt;"",G101&lt;TODAY(),H101&lt;&gt;"Completed"),"Overdue","On Track")))))</f>
        <v/>
      </c>
    </row>
  </sheetData>
  <mergeCells count="1">
    <mergeCell ref="A1:M1"/>
  </mergeCells>
  <conditionalFormatting sqref="H3:H101">
    <cfRule type="expression" priority="1" dxfId="1">
      <formula>H3="Completed"</formula>
    </cfRule>
    <cfRule type="expression" priority="2" dxfId="3">
      <formula>H3="In Progress"</formula>
    </cfRule>
    <cfRule type="expression" priority="3" dxfId="9">
      <formula>H3="Delayed"</formula>
    </cfRule>
    <cfRule type="expression" priority="4" dxfId="0">
      <formula>H3="Blocked"</formula>
    </cfRule>
  </conditionalFormatting>
  <conditionalFormatting sqref="I3:I101">
    <cfRule type="dataBar" priority="6">
      <dataBar>
        <cfvo type="min"/>
        <cfvo type="max"/>
        <color rgb="FF1F5A94"/>
      </dataBar>
    </cfRule>
    <cfRule type="dataBar" priority="7">
      <dataBar>
        <cfvo type="min"/>
        <cfvo type="max"/>
        <color rgb="FF1F5A94"/>
      </dataBar>
    </cfRule>
  </conditionalFormatting>
  <conditionalFormatting sqref="M3:M101">
    <cfRule type="expression" priority="5" dxfId="7">
      <formula>M3="Overdue"</formula>
    </cfRule>
  </conditionalFormatting>
  <dataValidations count="4">
    <dataValidation sqref="B3:B101" showDropDown="0" showInputMessage="0" showErrorMessage="0" allowBlank="0" type="list">
      <formula1>"Unit 1 / Phase 1,Phase 2,Phase 3,Final"</formula1>
    </dataValidation>
    <dataValidation sqref="H3:H101" showDropDown="0" showInputMessage="0" showErrorMessage="0" allowBlank="0" type="list">
      <formula1>"Not Started,In Progress,Completed,Delayed,Blocked"</formula1>
    </dataValidation>
    <dataValidation sqref="I3:I101" showDropDown="0" showInputMessage="0" showErrorMessage="0" allowBlank="0" type="list">
      <formula1>"0,25,50,75,100"</formula1>
    </dataValidation>
    <dataValidation sqref="K3:K101"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01"/>
  <sheetViews>
    <sheetView topLeftCell="A11" zoomScale="95" zoomScaleNormal="70" workbookViewId="0">
      <selection activeCell="J14" sqref="J14"/>
    </sheetView>
  </sheetViews>
  <sheetFormatPr baseColWidth="8" defaultRowHeight="14.25"/>
  <cols>
    <col width="24" customWidth="1" min="1" max="1"/>
    <col width="16" customWidth="1" min="2" max="2"/>
    <col width="19" customWidth="1" min="3" max="3"/>
    <col width="15" customWidth="1" min="4" max="4"/>
    <col width="32" customWidth="1" min="5" max="5"/>
    <col width="38" customWidth="1" min="6" max="6"/>
    <col width="14" customWidth="1" min="7" max="7"/>
    <col width="12" customWidth="1" min="8" max="8"/>
    <col width="34" customWidth="1" min="9" max="9"/>
    <col width="16" customWidth="1" min="10" max="10"/>
    <col width="14" customWidth="1" min="11" max="11"/>
    <col width="28" customWidth="1" min="12" max="12"/>
  </cols>
  <sheetData>
    <row r="1" ht="30" customHeight="1">
      <c r="A1" s="38" t="inlineStr">
        <is>
          <t>Individual Contribution Record</t>
        </is>
      </c>
    </row>
    <row r="2" ht="30" customHeight="1">
      <c r="A2" s="35" t="inlineStr">
        <is>
          <t>Student Name</t>
        </is>
      </c>
      <c r="B2" s="15" t="inlineStr">
        <is>
          <t>Student Number</t>
        </is>
      </c>
      <c r="C2" s="15" t="inlineStr">
        <is>
          <t>Reporting Phase</t>
        </is>
      </c>
      <c r="D2" s="15" t="inlineStr">
        <is>
          <t>Activity</t>
        </is>
      </c>
      <c r="E2" s="15" t="inlineStr">
        <is>
          <t>Assigned Responsibility</t>
        </is>
      </c>
      <c r="F2" s="15" t="inlineStr">
        <is>
          <t>Work Personally Completed</t>
        </is>
      </c>
      <c r="G2" s="15" t="inlineStr">
        <is>
          <t>Date Completed</t>
        </is>
      </c>
      <c r="H2" s="15" t="inlineStr">
        <is>
          <t>Hours Spent</t>
        </is>
      </c>
      <c r="I2" s="15" t="inlineStr">
        <is>
          <t>Evidence / Link</t>
        </is>
      </c>
      <c r="J2" s="15" t="inlineStr">
        <is>
          <t>Verified by Group</t>
        </is>
      </c>
      <c r="K2" s="15" t="inlineStr">
        <is>
          <t>Verification Date</t>
        </is>
      </c>
      <c r="L2" s="36" t="inlineStr">
        <is>
          <t>Notes</t>
        </is>
      </c>
    </row>
    <row r="3" ht="42.75" customHeight="1">
      <c r="A3" s="16" t="inlineStr">
        <is>
          <t>Mamello Lepitla</t>
        </is>
      </c>
      <c r="B3" s="12" t="n">
        <v>222018199</v>
      </c>
      <c r="C3" s="12" t="inlineStr">
        <is>
          <t>Unit 1 / Phase 1</t>
        </is>
      </c>
      <c r="D3" s="12" t="inlineStr">
        <is>
          <t>Supabase setup &amp; SRS documentation</t>
        </is>
      </c>
      <c r="E3" s="12" t="inlineStr">
        <is>
          <t>Backend setup and cocumentation</t>
        </is>
      </c>
      <c r="F3" s="12" t="inlineStr">
        <is>
          <t>Set up Supabase project and completed /maintained the SRS and supporting documentation</t>
        </is>
      </c>
      <c r="G3" s="13" t="n">
        <v>46265</v>
      </c>
      <c r="H3" s="23" t="n"/>
      <c r="I3" s="12" t="e">
        <v>#VALUE!</v>
      </c>
      <c r="J3" s="12" t="inlineStr">
        <is>
          <t>Yes</t>
        </is>
      </c>
      <c r="K3" s="13" t="n">
        <v>46265</v>
      </c>
      <c r="L3" s="17" t="inlineStr">
        <is>
          <t>Major Phase 1 contribution</t>
        </is>
      </c>
    </row>
    <row r="4" ht="28.5" customHeight="1">
      <c r="A4" s="12" t="inlineStr">
        <is>
          <t>Katleho Makhoali</t>
        </is>
      </c>
      <c r="B4" s="12" t="n">
        <v>224131387</v>
      </c>
      <c r="C4" s="12" t="inlineStr">
        <is>
          <t>Unit 1 / Phase 1</t>
        </is>
      </c>
      <c r="D4" s="12" t="inlineStr">
        <is>
          <t>GitHub repository setup</t>
        </is>
      </c>
      <c r="E4" s="12" t="inlineStr">
        <is>
          <t xml:space="preserve">GitHub setup </t>
        </is>
      </c>
      <c r="F4" s="12" t="inlineStr">
        <is>
          <t>Set up and organised the project GitHub repository</t>
        </is>
      </c>
      <c r="G4" s="13" t="n">
        <v>46257</v>
      </c>
      <c r="H4" s="23" t="n"/>
      <c r="I4" s="12" t="e">
        <v>#VALUE!</v>
      </c>
      <c r="J4" s="12" t="inlineStr">
        <is>
          <t>Yes</t>
        </is>
      </c>
      <c r="K4" s="13" t="n">
        <v>46260</v>
      </c>
      <c r="L4" s="17" t="inlineStr">
        <is>
          <t>Repository setup</t>
        </is>
      </c>
    </row>
    <row r="5" ht="57" customHeight="1">
      <c r="A5" s="12" t="inlineStr">
        <is>
          <t>Paballo Lebusa</t>
        </is>
      </c>
      <c r="B5" t="n">
        <v>221000537</v>
      </c>
      <c r="C5" s="12" t="inlineStr">
        <is>
          <t>Unit 1 / Phase 1</t>
        </is>
      </c>
      <c r="D5" s="12" t="inlineStr">
        <is>
          <t>Project progress tracker and Microsoft project Scheduling</t>
        </is>
      </c>
      <c r="E5" s="12" t="inlineStr">
        <is>
          <t>Progress tracking</t>
        </is>
      </c>
      <c r="F5" s="12" t="inlineStr">
        <is>
          <t>Prepared and updated the ITC327W Project Progress Tracker</t>
        </is>
      </c>
      <c r="G5" s="13" t="n">
        <v>46257</v>
      </c>
      <c r="H5" s="23" t="n"/>
      <c r="I5" s="12" t="e">
        <v>#VALUE!</v>
      </c>
      <c r="J5" s="12" t="inlineStr">
        <is>
          <t>Yes</t>
        </is>
      </c>
      <c r="K5" s="13" t="n">
        <v>46260</v>
      </c>
      <c r="L5" s="17" t="inlineStr">
        <is>
          <t>Tracker maintenace</t>
        </is>
      </c>
    </row>
    <row r="6" ht="42.75" customHeight="1">
      <c r="A6" s="12" t="inlineStr">
        <is>
          <t>David Adegbola</t>
        </is>
      </c>
      <c r="B6" t="n">
        <v>220042034</v>
      </c>
      <c r="C6" s="12" t="inlineStr">
        <is>
          <t>Unit 1 / Phase 1</t>
        </is>
      </c>
      <c r="D6" s="12" t="inlineStr">
        <is>
          <t>Stakeholder communication</t>
        </is>
      </c>
      <c r="E6" s="12" t="inlineStr">
        <is>
          <t>Stakeholder coordination</t>
        </is>
      </c>
      <c r="F6" s="12" t="inlineStr">
        <is>
          <t>Assisted with communication and coordination relating to stakeholder engagement</t>
        </is>
      </c>
      <c r="G6" s="13" t="n">
        <v>46253</v>
      </c>
      <c r="H6" s="23" t="n"/>
      <c r="I6" s="12" t="e">
        <v>#VALUE!</v>
      </c>
      <c r="J6" s="12" t="inlineStr">
        <is>
          <t>Yes</t>
        </is>
      </c>
      <c r="K6" s="13" t="n">
        <v>46253</v>
      </c>
      <c r="L6" s="17" t="inlineStr">
        <is>
          <t>Stakeholder communication</t>
        </is>
      </c>
    </row>
    <row r="7" ht="42.75" customHeight="1">
      <c r="A7" s="12" t="inlineStr">
        <is>
          <t>Lerato Mahlatsi</t>
        </is>
      </c>
      <c r="B7" t="n">
        <v>220049867</v>
      </c>
      <c r="C7" s="12" t="inlineStr">
        <is>
          <t>Unit 1 / Phase 1</t>
        </is>
      </c>
      <c r="D7" s="12" t="inlineStr">
        <is>
          <t>Did the feasibility Study and risk analysis</t>
        </is>
      </c>
      <c r="E7" s="12" t="inlineStr">
        <is>
          <t>Feasibility Study and Risk Analysis</t>
        </is>
      </c>
      <c r="F7" s="12" t="inlineStr">
        <is>
          <t>Assisted with doing the feasibility Study and Risk Analysis</t>
        </is>
      </c>
      <c r="G7" s="13" t="n">
        <v>46254</v>
      </c>
      <c r="H7" s="23" t="n"/>
      <c r="I7" s="12" t="e">
        <v>#VALUE!</v>
      </c>
      <c r="J7" s="12" t="inlineStr">
        <is>
          <t>Yes</t>
        </is>
      </c>
      <c r="K7" s="13" t="n">
        <v>46264</v>
      </c>
      <c r="L7" s="17" t="inlineStr">
        <is>
          <t>Schedule supporting</t>
        </is>
      </c>
    </row>
    <row r="8" ht="42.75" customHeight="1">
      <c r="A8" s="12" t="inlineStr">
        <is>
          <t>Mpho Motaung</t>
        </is>
      </c>
      <c r="B8" t="n">
        <v>224074632</v>
      </c>
      <c r="C8" s="12" t="inlineStr">
        <is>
          <t>Unit 1 / Phase 1</t>
        </is>
      </c>
      <c r="D8" s="12" t="inlineStr">
        <is>
          <t>Group meetings/project participation</t>
        </is>
      </c>
      <c r="E8" s="12" t="inlineStr">
        <is>
          <t>Group participation and assigned project activities</t>
        </is>
      </c>
      <c r="F8" s="12" t="inlineStr">
        <is>
          <t>Attended group meetings but no specific project task or delivearble was personally completed during phase 1</t>
        </is>
      </c>
      <c r="G8" s="13" t="n"/>
      <c r="H8" s="23" t="n">
        <v>0</v>
      </c>
      <c r="I8" s="12" t="inlineStr">
        <is>
          <t>No contribution evidence available</t>
        </is>
      </c>
      <c r="J8" s="12" t="inlineStr">
        <is>
          <t>Yes</t>
        </is>
      </c>
      <c r="K8" s="13" t="n"/>
      <c r="L8" s="17" t="inlineStr">
        <is>
          <t>No task volunteered for/ completed during Phase 1</t>
        </is>
      </c>
    </row>
    <row r="9" ht="28.5" customHeight="1">
      <c r="A9" s="12" t="inlineStr">
        <is>
          <t>Mamello Lepitla</t>
        </is>
      </c>
      <c r="B9" s="12" t="n">
        <v>222018199</v>
      </c>
      <c r="C9" s="12" t="inlineStr">
        <is>
          <t>Unit 3 / Phase 2</t>
        </is>
      </c>
      <c r="D9" s="12" t="inlineStr">
        <is>
          <t>SRS Documentation</t>
        </is>
      </c>
      <c r="E9" s="12" t="inlineStr">
        <is>
          <t>Update the SRS documentation for Phase 2</t>
        </is>
      </c>
      <c r="F9" s="12" t="inlineStr">
        <is>
          <t>Did all the Documentation And also The Updated SRS</t>
        </is>
      </c>
      <c r="G9" s="13" t="n">
        <v>46289</v>
      </c>
      <c r="H9" s="23" t="n"/>
      <c r="I9" s="12" t="n"/>
      <c r="J9" s="12" t="inlineStr">
        <is>
          <t>Yes</t>
        </is>
      </c>
      <c r="K9" s="13" t="n"/>
      <c r="L9" s="17" t="n"/>
    </row>
    <row r="10" ht="85.5" customHeight="1">
      <c r="A10" s="12" t="inlineStr">
        <is>
          <t>Paballo Lebusa</t>
        </is>
      </c>
      <c r="B10" s="12" t="n">
        <v>221000537</v>
      </c>
      <c r="C10" s="12" t="inlineStr">
        <is>
          <t>Unit 3 / Phase 2</t>
        </is>
      </c>
      <c r="D10" s="12" t="inlineStr">
        <is>
          <t>System Architecture Diagram and Project progress tracker and MS Scheduling</t>
        </is>
      </c>
      <c r="E10" s="12" t="inlineStr">
        <is>
          <t>Progress tracking and system architecture design</t>
        </is>
      </c>
      <c r="F10" s="12" t="inlineStr">
        <is>
          <t>Updated the Project Tracker and Fixed the MS project Also Designed the System Architecture</t>
        </is>
      </c>
      <c r="G10" s="13" t="n">
        <v>46274</v>
      </c>
      <c r="H10" s="23" t="n"/>
      <c r="I10" s="12" t="n"/>
      <c r="J10" s="12" t="inlineStr">
        <is>
          <t>Yes</t>
        </is>
      </c>
      <c r="K10" s="13" t="n"/>
      <c r="L10" s="17" t="n"/>
    </row>
    <row r="11" ht="42.75" customHeight="1">
      <c r="A11" s="12" t="inlineStr">
        <is>
          <t>David Adegbola</t>
        </is>
      </c>
      <c r="B11" t="n">
        <v>220042034</v>
      </c>
      <c r="C11" s="12" t="inlineStr">
        <is>
          <t>Unit 3 / Phase 2</t>
        </is>
      </c>
      <c r="D11" s="12" t="inlineStr">
        <is>
          <t>Sequence diagram for ASP.NET</t>
        </is>
      </c>
      <c r="E11" s="12" t="inlineStr">
        <is>
          <t>Did the Sequence Diagram for ASP.NET</t>
        </is>
      </c>
      <c r="F11" s="12" t="inlineStr">
        <is>
          <t>Completed the Sequence Diagram For the ASP.NET</t>
        </is>
      </c>
      <c r="G11" s="13" t="n">
        <v>46279</v>
      </c>
      <c r="H11" s="23" t="n"/>
      <c r="I11" s="12" t="n"/>
      <c r="J11" s="12" t="inlineStr">
        <is>
          <t>Yes</t>
        </is>
      </c>
      <c r="K11" s="13" t="n"/>
      <c r="L11" s="17" t="n"/>
    </row>
    <row r="12" ht="42.75" customHeight="1">
      <c r="A12" s="16" t="inlineStr">
        <is>
          <t>Lerato Mahlatsi</t>
        </is>
      </c>
      <c r="B12" s="12" t="n">
        <v>220049867</v>
      </c>
      <c r="C12" s="12" t="inlineStr">
        <is>
          <t>Unit 3 / Phase 2</t>
        </is>
      </c>
      <c r="D12" s="12" t="inlineStr">
        <is>
          <t>Flutter and ASP.NET interface design</t>
        </is>
      </c>
      <c r="E12" s="12" t="inlineStr">
        <is>
          <t>Design the Flutter and ASP.NET interface Design</t>
        </is>
      </c>
      <c r="F12" s="12" t="inlineStr">
        <is>
          <t>Did the Interface designs but they were incomplete and was finished by Mamello Lepitla and Paballo Lebusa</t>
        </is>
      </c>
      <c r="G12" s="13" t="n">
        <v>46285</v>
      </c>
      <c r="H12" s="23" t="n"/>
      <c r="I12" s="12" t="n"/>
      <c r="J12" s="12" t="inlineStr">
        <is>
          <t>Yes</t>
        </is>
      </c>
      <c r="K12" s="13" t="n"/>
      <c r="L12" s="17" t="n"/>
    </row>
    <row r="13" ht="28.5" customHeight="1">
      <c r="A13" s="16" t="inlineStr">
        <is>
          <t>Katleho Makhoali</t>
        </is>
      </c>
      <c r="B13" s="12" t="n">
        <v>224131387</v>
      </c>
      <c r="C13" s="12" t="inlineStr">
        <is>
          <t>Unit 3 / Phase 2</t>
        </is>
      </c>
      <c r="D13" s="12" t="inlineStr">
        <is>
          <t>Use Case Diagram</t>
        </is>
      </c>
      <c r="E13" s="12" t="inlineStr">
        <is>
          <t>Design the Use Case diagram and Github Documentation</t>
        </is>
      </c>
      <c r="F13" s="12" t="inlineStr">
        <is>
          <t>Completed the Use Case for Both Parent and Admin and github Documentation</t>
        </is>
      </c>
      <c r="G13" s="13" t="n">
        <v>46280</v>
      </c>
      <c r="H13" s="23" t="n"/>
      <c r="I13" s="12" t="n"/>
      <c r="J13" s="12" t="inlineStr">
        <is>
          <t>Yes</t>
        </is>
      </c>
      <c r="K13" s="13" t="n"/>
      <c r="L13" s="17" t="n"/>
    </row>
    <row r="14" ht="42.75" customHeight="1">
      <c r="A14" s="16" t="inlineStr">
        <is>
          <t>Mpho Motaung</t>
        </is>
      </c>
      <c r="B14" s="12" t="n">
        <v>224074632</v>
      </c>
      <c r="C14" s="12" t="inlineStr">
        <is>
          <t>Unit 3 / Phase 2</t>
        </is>
      </c>
      <c r="D14" s="12" t="inlineStr">
        <is>
          <t>Sequence diagram for Flutter</t>
        </is>
      </c>
      <c r="E14" s="12" t="inlineStr">
        <is>
          <t>Did the Sequence Diagram for Flutter</t>
        </is>
      </c>
      <c r="F14" s="12" t="inlineStr">
        <is>
          <t>Completed the Sequence Diagram For the Flutter</t>
        </is>
      </c>
      <c r="G14" s="13" t="n">
        <v>46279</v>
      </c>
      <c r="H14" s="23" t="n"/>
      <c r="I14" s="12" t="n"/>
      <c r="J14" s="12" t="inlineStr">
        <is>
          <t>Yes</t>
        </is>
      </c>
      <c r="K14" s="13" t="n"/>
      <c r="L14" s="17" t="n"/>
    </row>
    <row r="15">
      <c r="A15" s="16" t="n"/>
      <c r="B15" s="12" t="n"/>
      <c r="C15" s="12" t="n"/>
      <c r="D15" s="12" t="n"/>
      <c r="E15" s="12" t="n"/>
      <c r="F15" s="12" t="n"/>
      <c r="G15" s="13" t="n"/>
      <c r="H15" s="23" t="n"/>
      <c r="I15" s="12" t="n"/>
      <c r="J15" s="12" t="n"/>
      <c r="K15" s="13" t="n"/>
      <c r="L15" s="17" t="n"/>
    </row>
    <row r="16">
      <c r="A16" s="16" t="n"/>
      <c r="B16" s="12" t="n"/>
      <c r="C16" s="12" t="n"/>
      <c r="D16" s="12" t="n"/>
      <c r="E16" s="12" t="n"/>
      <c r="F16" s="12" t="n"/>
      <c r="G16" s="13" t="n"/>
      <c r="H16" s="23" t="n"/>
      <c r="I16" s="12" t="n"/>
      <c r="J16" s="12" t="n"/>
      <c r="K16" s="13" t="n"/>
      <c r="L16" s="17" t="n"/>
    </row>
    <row r="17">
      <c r="A17" s="16" t="n"/>
      <c r="B17" s="12" t="n"/>
      <c r="C17" s="12" t="n"/>
      <c r="D17" s="12" t="n"/>
      <c r="E17" s="12" t="n"/>
      <c r="F17" s="12" t="n"/>
      <c r="G17" s="13" t="n"/>
      <c r="H17" s="23" t="n"/>
      <c r="I17" s="12" t="n"/>
      <c r="J17" s="12" t="n"/>
      <c r="K17" s="13" t="n"/>
      <c r="L17" s="17" t="n"/>
    </row>
    <row r="18">
      <c r="A18" s="16" t="n"/>
      <c r="B18" s="12" t="n"/>
      <c r="C18" s="12" t="n"/>
      <c r="D18" s="12" t="n"/>
      <c r="E18" s="12" t="n"/>
      <c r="F18" s="12" t="n"/>
      <c r="G18" s="13" t="n"/>
      <c r="H18" s="23" t="n"/>
      <c r="I18" s="12" t="n"/>
      <c r="J18" s="12" t="n"/>
      <c r="K18" s="13" t="n"/>
      <c r="L18" s="17" t="n"/>
    </row>
    <row r="19">
      <c r="A19" s="16" t="n"/>
      <c r="B19" s="12" t="n"/>
      <c r="C19" s="12" t="n"/>
      <c r="D19" s="12" t="n"/>
      <c r="E19" s="12" t="n"/>
      <c r="F19" s="12" t="n"/>
      <c r="G19" s="13" t="n"/>
      <c r="H19" s="23" t="n"/>
      <c r="I19" s="12" t="n"/>
      <c r="J19" s="12" t="n"/>
      <c r="K19" s="13" t="n"/>
      <c r="L19" s="17" t="n"/>
    </row>
    <row r="20">
      <c r="A20" s="16" t="n"/>
      <c r="B20" s="12" t="n"/>
      <c r="C20" s="12" t="n"/>
      <c r="D20" s="12" t="n"/>
      <c r="E20" s="12" t="n"/>
      <c r="F20" s="12" t="n"/>
      <c r="G20" s="13" t="n"/>
      <c r="H20" s="23" t="n"/>
      <c r="I20" s="12" t="n"/>
      <c r="J20" s="12" t="n"/>
      <c r="K20" s="13" t="n"/>
      <c r="L20" s="17" t="n"/>
    </row>
    <row r="21">
      <c r="A21" s="16" t="n"/>
      <c r="B21" s="12" t="n"/>
      <c r="C21" s="12" t="n"/>
      <c r="D21" s="12" t="n"/>
      <c r="E21" s="12" t="n"/>
      <c r="F21" s="12" t="n"/>
      <c r="G21" s="13" t="n"/>
      <c r="H21" s="23" t="n"/>
      <c r="I21" s="12" t="n"/>
      <c r="J21" s="12" t="n"/>
      <c r="K21" s="13" t="n"/>
      <c r="L21" s="17" t="n"/>
    </row>
    <row r="22">
      <c r="A22" s="16" t="n"/>
      <c r="B22" s="12" t="n"/>
      <c r="C22" s="12" t="n"/>
      <c r="D22" s="12" t="n"/>
      <c r="E22" s="12" t="n"/>
      <c r="F22" s="12" t="n"/>
      <c r="G22" s="13" t="n"/>
      <c r="H22" s="23" t="n"/>
      <c r="I22" s="12" t="n"/>
      <c r="J22" s="12" t="n"/>
      <c r="K22" s="13" t="n"/>
      <c r="L22" s="17" t="n"/>
    </row>
    <row r="23">
      <c r="A23" s="16" t="n"/>
      <c r="B23" s="12" t="n"/>
      <c r="C23" s="12" t="n"/>
      <c r="D23" s="12" t="n"/>
      <c r="E23" s="12" t="n"/>
      <c r="F23" s="12" t="n"/>
      <c r="G23" s="13" t="n"/>
      <c r="H23" s="23" t="n"/>
      <c r="I23" s="12" t="n"/>
      <c r="J23" s="12" t="n"/>
      <c r="K23" s="13" t="n"/>
      <c r="L23" s="17" t="n"/>
    </row>
    <row r="24">
      <c r="A24" s="16" t="n"/>
      <c r="B24" s="12" t="n"/>
      <c r="C24" s="12" t="n"/>
      <c r="D24" s="12" t="n"/>
      <c r="E24" s="12" t="n"/>
      <c r="F24" s="12" t="n"/>
      <c r="G24" s="13" t="n"/>
      <c r="H24" s="23" t="n"/>
      <c r="I24" s="12" t="n"/>
      <c r="J24" s="12" t="n"/>
      <c r="K24" s="13" t="n"/>
      <c r="L24" s="17" t="n"/>
    </row>
    <row r="25">
      <c r="A25" s="16" t="n"/>
      <c r="B25" s="12" t="n"/>
      <c r="C25" s="12" t="n"/>
      <c r="D25" s="12" t="n"/>
      <c r="E25" s="12" t="n"/>
      <c r="F25" s="12" t="n"/>
      <c r="G25" s="13" t="n"/>
      <c r="H25" s="23" t="n"/>
      <c r="I25" s="12" t="n"/>
      <c r="J25" s="12" t="n"/>
      <c r="K25" s="13" t="n"/>
      <c r="L25" s="17" t="n"/>
    </row>
    <row r="26">
      <c r="A26" s="16" t="n"/>
      <c r="B26" s="12" t="n"/>
      <c r="C26" s="12" t="n"/>
      <c r="D26" s="12" t="n"/>
      <c r="E26" s="12" t="n"/>
      <c r="F26" s="12" t="n"/>
      <c r="G26" s="13" t="n"/>
      <c r="H26" s="23" t="n"/>
      <c r="I26" s="12" t="n"/>
      <c r="J26" s="12" t="n"/>
      <c r="K26" s="13" t="n"/>
      <c r="L26" s="17" t="n"/>
    </row>
    <row r="27">
      <c r="A27" s="16" t="n"/>
      <c r="B27" s="12" t="n"/>
      <c r="C27" s="12" t="n"/>
      <c r="D27" s="12" t="n"/>
      <c r="E27" s="12" t="n"/>
      <c r="F27" s="12" t="n"/>
      <c r="G27" s="13" t="n"/>
      <c r="H27" s="23" t="n"/>
      <c r="I27" s="12" t="n"/>
      <c r="J27" s="12" t="n"/>
      <c r="K27" s="13" t="n"/>
      <c r="L27" s="17" t="n"/>
    </row>
    <row r="28">
      <c r="A28" s="16" t="n"/>
      <c r="B28" s="12" t="n"/>
      <c r="C28" s="12" t="n"/>
      <c r="D28" s="12" t="n"/>
      <c r="E28" s="12" t="n"/>
      <c r="F28" s="12" t="n"/>
      <c r="G28" s="13" t="n"/>
      <c r="H28" s="23" t="n"/>
      <c r="I28" s="12" t="n"/>
      <c r="J28" s="12" t="n"/>
      <c r="K28" s="13" t="n"/>
      <c r="L28" s="17" t="n"/>
    </row>
    <row r="29">
      <c r="A29" s="16" t="n"/>
      <c r="B29" s="12" t="n"/>
      <c r="C29" s="12" t="n"/>
      <c r="D29" s="12" t="n"/>
      <c r="E29" s="12" t="n"/>
      <c r="F29" s="12" t="n"/>
      <c r="G29" s="13" t="n"/>
      <c r="H29" s="23" t="n"/>
      <c r="I29" s="12" t="n"/>
      <c r="J29" s="12" t="n"/>
      <c r="K29" s="13" t="n"/>
      <c r="L29" s="17" t="n"/>
    </row>
    <row r="30">
      <c r="A30" s="16" t="n"/>
      <c r="B30" s="12" t="n"/>
      <c r="C30" s="12" t="n"/>
      <c r="D30" s="12" t="n"/>
      <c r="E30" s="12" t="n"/>
      <c r="F30" s="12" t="n"/>
      <c r="G30" s="13" t="n"/>
      <c r="H30" s="23" t="n"/>
      <c r="I30" s="12" t="n"/>
      <c r="J30" s="12" t="n"/>
      <c r="K30" s="13" t="n"/>
      <c r="L30" s="17" t="n"/>
    </row>
    <row r="31">
      <c r="A31" s="16" t="n"/>
      <c r="B31" s="12" t="n"/>
      <c r="C31" s="12" t="n"/>
      <c r="D31" s="12" t="n"/>
      <c r="E31" s="12" t="n"/>
      <c r="F31" s="12" t="n"/>
      <c r="G31" s="13" t="n"/>
      <c r="H31" s="23" t="n"/>
      <c r="I31" s="12" t="n"/>
      <c r="J31" s="12" t="n"/>
      <c r="K31" s="13" t="n"/>
      <c r="L31" s="17" t="n"/>
    </row>
    <row r="32">
      <c r="A32" s="16" t="n"/>
      <c r="B32" s="12" t="n"/>
      <c r="C32" s="12" t="n"/>
      <c r="D32" s="12" t="n"/>
      <c r="E32" s="12" t="n"/>
      <c r="F32" s="12" t="n"/>
      <c r="G32" s="13" t="n"/>
      <c r="H32" s="23" t="n"/>
      <c r="I32" s="12" t="n"/>
      <c r="J32" s="12" t="n"/>
      <c r="K32" s="13" t="n"/>
      <c r="L32" s="17" t="n"/>
    </row>
    <row r="33">
      <c r="A33" s="16" t="n"/>
      <c r="B33" s="12" t="n"/>
      <c r="C33" s="12" t="n"/>
      <c r="D33" s="12" t="n"/>
      <c r="E33" s="12" t="n"/>
      <c r="F33" s="12" t="n"/>
      <c r="G33" s="13" t="n"/>
      <c r="H33" s="23" t="n"/>
      <c r="I33" s="12" t="n"/>
      <c r="J33" s="12" t="n"/>
      <c r="K33" s="13" t="n"/>
      <c r="L33" s="17" t="n"/>
    </row>
    <row r="34">
      <c r="A34" s="16" t="n"/>
      <c r="B34" s="12" t="n"/>
      <c r="C34" s="12" t="n"/>
      <c r="D34" s="12" t="n"/>
      <c r="E34" s="12" t="n"/>
      <c r="F34" s="12" t="n"/>
      <c r="G34" s="13" t="n"/>
      <c r="H34" s="23" t="n"/>
      <c r="I34" s="12" t="n"/>
      <c r="J34" s="12" t="n"/>
      <c r="K34" s="13" t="n"/>
      <c r="L34" s="17" t="n"/>
    </row>
    <row r="35">
      <c r="A35" s="16" t="n"/>
      <c r="B35" s="12" t="n"/>
      <c r="C35" s="12" t="n"/>
      <c r="D35" s="12" t="n"/>
      <c r="E35" s="12" t="n"/>
      <c r="F35" s="12" t="n"/>
      <c r="G35" s="13" t="n"/>
      <c r="H35" s="23" t="n"/>
      <c r="I35" s="12" t="n"/>
      <c r="J35" s="12" t="n"/>
      <c r="K35" s="13" t="n"/>
      <c r="L35" s="17" t="n"/>
    </row>
    <row r="36">
      <c r="A36" s="16" t="n"/>
      <c r="B36" s="12" t="n"/>
      <c r="C36" s="12" t="n"/>
      <c r="D36" s="12" t="n"/>
      <c r="E36" s="12" t="n"/>
      <c r="F36" s="12" t="n"/>
      <c r="G36" s="13" t="n"/>
      <c r="H36" s="23" t="n"/>
      <c r="I36" s="12" t="n"/>
      <c r="J36" s="12" t="n"/>
      <c r="K36" s="13" t="n"/>
      <c r="L36" s="17" t="n"/>
    </row>
    <row r="37">
      <c r="A37" s="16" t="n"/>
      <c r="B37" s="12" t="n"/>
      <c r="C37" s="12" t="n"/>
      <c r="D37" s="12" t="n"/>
      <c r="E37" s="12" t="n"/>
      <c r="F37" s="12" t="n"/>
      <c r="G37" s="13" t="n"/>
      <c r="H37" s="23" t="n"/>
      <c r="I37" s="12" t="n"/>
      <c r="J37" s="12" t="n"/>
      <c r="K37" s="13" t="n"/>
      <c r="L37" s="17" t="n"/>
    </row>
    <row r="38">
      <c r="A38" s="16" t="n"/>
      <c r="B38" s="12" t="n"/>
      <c r="C38" s="12" t="n"/>
      <c r="D38" s="12" t="n"/>
      <c r="E38" s="12" t="n"/>
      <c r="F38" s="12" t="n"/>
      <c r="G38" s="13" t="n"/>
      <c r="H38" s="23" t="n"/>
      <c r="I38" s="12" t="n"/>
      <c r="J38" s="12" t="n"/>
      <c r="K38" s="13" t="n"/>
      <c r="L38" s="17" t="n"/>
    </row>
    <row r="39">
      <c r="A39" s="16" t="n"/>
      <c r="B39" s="12" t="n"/>
      <c r="C39" s="12" t="n"/>
      <c r="D39" s="12" t="n"/>
      <c r="E39" s="12" t="n"/>
      <c r="F39" s="12" t="n"/>
      <c r="G39" s="13" t="n"/>
      <c r="H39" s="23" t="n"/>
      <c r="I39" s="12" t="n"/>
      <c r="J39" s="12" t="n"/>
      <c r="K39" s="13" t="n"/>
      <c r="L39" s="17" t="n"/>
    </row>
    <row r="40">
      <c r="A40" s="16" t="n"/>
      <c r="B40" s="12" t="n"/>
      <c r="C40" s="12" t="n"/>
      <c r="D40" s="12" t="n"/>
      <c r="E40" s="12" t="n"/>
      <c r="F40" s="12" t="n"/>
      <c r="G40" s="13" t="n"/>
      <c r="H40" s="23" t="n"/>
      <c r="I40" s="12" t="n"/>
      <c r="J40" s="12" t="n"/>
      <c r="K40" s="13" t="n"/>
      <c r="L40" s="17" t="n"/>
    </row>
    <row r="41">
      <c r="A41" s="16" t="n"/>
      <c r="B41" s="12" t="n"/>
      <c r="C41" s="12" t="n"/>
      <c r="D41" s="12" t="n"/>
      <c r="E41" s="12" t="n"/>
      <c r="F41" s="12" t="n"/>
      <c r="G41" s="13" t="n"/>
      <c r="H41" s="23" t="n"/>
      <c r="I41" s="12" t="n"/>
      <c r="J41" s="12" t="n"/>
      <c r="K41" s="13" t="n"/>
      <c r="L41" s="17" t="n"/>
    </row>
    <row r="42">
      <c r="A42" s="16" t="n"/>
      <c r="B42" s="12" t="n"/>
      <c r="C42" s="12" t="n"/>
      <c r="D42" s="12" t="n"/>
      <c r="E42" s="12" t="n"/>
      <c r="F42" s="12" t="n"/>
      <c r="G42" s="13" t="n"/>
      <c r="H42" s="23" t="n"/>
      <c r="I42" s="12" t="n"/>
      <c r="J42" s="12" t="n"/>
      <c r="K42" s="13" t="n"/>
      <c r="L42" s="17" t="n"/>
    </row>
    <row r="43">
      <c r="A43" s="16" t="n"/>
      <c r="B43" s="12" t="n"/>
      <c r="C43" s="12" t="n"/>
      <c r="D43" s="12" t="n"/>
      <c r="E43" s="12" t="n"/>
      <c r="F43" s="12" t="n"/>
      <c r="G43" s="13" t="n"/>
      <c r="H43" s="23" t="n"/>
      <c r="I43" s="12" t="n"/>
      <c r="J43" s="12" t="n"/>
      <c r="K43" s="13" t="n"/>
      <c r="L43" s="17" t="n"/>
    </row>
    <row r="44">
      <c r="A44" s="16" t="n"/>
      <c r="B44" s="12" t="n"/>
      <c r="C44" s="12" t="n"/>
      <c r="D44" s="12" t="n"/>
      <c r="E44" s="12" t="n"/>
      <c r="F44" s="12" t="n"/>
      <c r="G44" s="13" t="n"/>
      <c r="H44" s="23" t="n"/>
      <c r="I44" s="12" t="n"/>
      <c r="J44" s="12" t="n"/>
      <c r="K44" s="13" t="n"/>
      <c r="L44" s="17" t="n"/>
    </row>
    <row r="45">
      <c r="A45" s="16" t="n"/>
      <c r="B45" s="12" t="n"/>
      <c r="C45" s="12" t="n"/>
      <c r="D45" s="12" t="n"/>
      <c r="E45" s="12" t="n"/>
      <c r="F45" s="12" t="n"/>
      <c r="G45" s="13" t="n"/>
      <c r="H45" s="23" t="n"/>
      <c r="I45" s="12" t="n"/>
      <c r="J45" s="12" t="n"/>
      <c r="K45" s="13" t="n"/>
      <c r="L45" s="17" t="n"/>
    </row>
    <row r="46">
      <c r="A46" s="16" t="n"/>
      <c r="B46" s="12" t="n"/>
      <c r="C46" s="12" t="n"/>
      <c r="D46" s="12" t="n"/>
      <c r="E46" s="12" t="n"/>
      <c r="F46" s="12" t="n"/>
      <c r="G46" s="13" t="n"/>
      <c r="H46" s="23" t="n"/>
      <c r="I46" s="12" t="n"/>
      <c r="J46" s="12" t="n"/>
      <c r="K46" s="13" t="n"/>
      <c r="L46" s="17" t="n"/>
    </row>
    <row r="47">
      <c r="A47" s="16" t="n"/>
      <c r="B47" s="12" t="n"/>
      <c r="C47" s="12" t="n"/>
      <c r="D47" s="12" t="n"/>
      <c r="E47" s="12" t="n"/>
      <c r="F47" s="12" t="n"/>
      <c r="G47" s="13" t="n"/>
      <c r="H47" s="23" t="n"/>
      <c r="I47" s="12" t="n"/>
      <c r="J47" s="12" t="n"/>
      <c r="K47" s="13" t="n"/>
      <c r="L47" s="17" t="n"/>
    </row>
    <row r="48">
      <c r="A48" s="16" t="n"/>
      <c r="B48" s="12" t="n"/>
      <c r="C48" s="12" t="n"/>
      <c r="D48" s="12" t="n"/>
      <c r="E48" s="12" t="n"/>
      <c r="F48" s="12" t="n"/>
      <c r="G48" s="13" t="n"/>
      <c r="H48" s="23" t="n"/>
      <c r="I48" s="12" t="n"/>
      <c r="J48" s="12" t="n"/>
      <c r="K48" s="13" t="n"/>
      <c r="L48" s="17" t="n"/>
    </row>
    <row r="49">
      <c r="A49" s="16" t="n"/>
      <c r="B49" s="12" t="n"/>
      <c r="C49" s="12" t="n"/>
      <c r="D49" s="12" t="n"/>
      <c r="E49" s="12" t="n"/>
      <c r="F49" s="12" t="n"/>
      <c r="G49" s="13" t="n"/>
      <c r="H49" s="23" t="n"/>
      <c r="I49" s="12" t="n"/>
      <c r="J49" s="12" t="n"/>
      <c r="K49" s="13" t="n"/>
      <c r="L49" s="17" t="n"/>
    </row>
    <row r="50">
      <c r="A50" s="16" t="n"/>
      <c r="B50" s="12" t="n"/>
      <c r="C50" s="12" t="n"/>
      <c r="D50" s="12" t="n"/>
      <c r="E50" s="12" t="n"/>
      <c r="F50" s="12" t="n"/>
      <c r="G50" s="13" t="n"/>
      <c r="H50" s="23" t="n"/>
      <c r="I50" s="12" t="n"/>
      <c r="J50" s="12" t="n"/>
      <c r="K50" s="13" t="n"/>
      <c r="L50" s="17" t="n"/>
    </row>
    <row r="51">
      <c r="A51" s="16" t="n"/>
      <c r="B51" s="12" t="n"/>
      <c r="C51" s="12" t="n"/>
      <c r="D51" s="12" t="n"/>
      <c r="E51" s="12" t="n"/>
      <c r="F51" s="12" t="n"/>
      <c r="G51" s="13" t="n"/>
      <c r="H51" s="23" t="n"/>
      <c r="I51" s="12" t="n"/>
      <c r="J51" s="12" t="n"/>
      <c r="K51" s="13" t="n"/>
      <c r="L51" s="17" t="n"/>
    </row>
    <row r="52">
      <c r="A52" s="16" t="n"/>
      <c r="B52" s="12" t="n"/>
      <c r="C52" s="12" t="n"/>
      <c r="D52" s="12" t="n"/>
      <c r="E52" s="12" t="n"/>
      <c r="F52" s="12" t="n"/>
      <c r="G52" s="13" t="n"/>
      <c r="H52" s="23" t="n"/>
      <c r="I52" s="12" t="n"/>
      <c r="J52" s="12" t="n"/>
      <c r="K52" s="13" t="n"/>
      <c r="L52" s="17" t="n"/>
    </row>
    <row r="53">
      <c r="A53" s="16" t="n"/>
      <c r="B53" s="12" t="n"/>
      <c r="C53" s="12" t="n"/>
      <c r="D53" s="12" t="n"/>
      <c r="E53" s="12" t="n"/>
      <c r="F53" s="12" t="n"/>
      <c r="G53" s="13" t="n"/>
      <c r="H53" s="23" t="n"/>
      <c r="I53" s="12" t="n"/>
      <c r="J53" s="12" t="n"/>
      <c r="K53" s="13" t="n"/>
      <c r="L53" s="17" t="n"/>
    </row>
    <row r="54">
      <c r="A54" s="16" t="n"/>
      <c r="B54" s="12" t="n"/>
      <c r="C54" s="12" t="n"/>
      <c r="D54" s="12" t="n"/>
      <c r="E54" s="12" t="n"/>
      <c r="F54" s="12" t="n"/>
      <c r="G54" s="13" t="n"/>
      <c r="H54" s="23" t="n"/>
      <c r="I54" s="12" t="n"/>
      <c r="J54" s="12" t="n"/>
      <c r="K54" s="13" t="n"/>
      <c r="L54" s="17" t="n"/>
    </row>
    <row r="55">
      <c r="A55" s="16" t="n"/>
      <c r="B55" s="12" t="n"/>
      <c r="C55" s="12" t="n"/>
      <c r="D55" s="12" t="n"/>
      <c r="E55" s="12" t="n"/>
      <c r="F55" s="12" t="n"/>
      <c r="G55" s="13" t="n"/>
      <c r="H55" s="23" t="n"/>
      <c r="I55" s="12" t="n"/>
      <c r="J55" s="12" t="n"/>
      <c r="K55" s="13" t="n"/>
      <c r="L55" s="17" t="n"/>
    </row>
    <row r="56">
      <c r="A56" s="16" t="n"/>
      <c r="B56" s="12" t="n"/>
      <c r="C56" s="12" t="n"/>
      <c r="D56" s="12" t="n"/>
      <c r="E56" s="12" t="n"/>
      <c r="F56" s="12" t="n"/>
      <c r="G56" s="13" t="n"/>
      <c r="H56" s="23" t="n"/>
      <c r="I56" s="12" t="n"/>
      <c r="J56" s="12" t="n"/>
      <c r="K56" s="13" t="n"/>
      <c r="L56" s="17" t="n"/>
    </row>
    <row r="57">
      <c r="A57" s="16" t="n"/>
      <c r="B57" s="12" t="n"/>
      <c r="C57" s="12" t="n"/>
      <c r="D57" s="12" t="n"/>
      <c r="E57" s="12" t="n"/>
      <c r="F57" s="12" t="n"/>
      <c r="G57" s="13" t="n"/>
      <c r="H57" s="23" t="n"/>
      <c r="I57" s="12" t="n"/>
      <c r="J57" s="12" t="n"/>
      <c r="K57" s="13" t="n"/>
      <c r="L57" s="17" t="n"/>
    </row>
    <row r="58">
      <c r="A58" s="16" t="n"/>
      <c r="B58" s="12" t="n"/>
      <c r="C58" s="12" t="n"/>
      <c r="D58" s="12" t="n"/>
      <c r="E58" s="12" t="n"/>
      <c r="F58" s="12" t="n"/>
      <c r="G58" s="13" t="n"/>
      <c r="H58" s="23" t="n"/>
      <c r="I58" s="12" t="n"/>
      <c r="J58" s="12" t="n"/>
      <c r="K58" s="13" t="n"/>
      <c r="L58" s="17" t="n"/>
    </row>
    <row r="59">
      <c r="A59" s="16" t="n"/>
      <c r="B59" s="12" t="n"/>
      <c r="C59" s="12" t="n"/>
      <c r="D59" s="12" t="n"/>
      <c r="E59" s="12" t="n"/>
      <c r="F59" s="12" t="n"/>
      <c r="G59" s="13" t="n"/>
      <c r="H59" s="23" t="n"/>
      <c r="I59" s="12" t="n"/>
      <c r="J59" s="12" t="n"/>
      <c r="K59" s="13" t="n"/>
      <c r="L59" s="17" t="n"/>
    </row>
    <row r="60">
      <c r="A60" s="16" t="n"/>
      <c r="B60" s="12" t="n"/>
      <c r="C60" s="12" t="n"/>
      <c r="D60" s="12" t="n"/>
      <c r="E60" s="12" t="n"/>
      <c r="F60" s="12" t="n"/>
      <c r="G60" s="13" t="n"/>
      <c r="H60" s="23" t="n"/>
      <c r="I60" s="12" t="n"/>
      <c r="J60" s="12" t="n"/>
      <c r="K60" s="13" t="n"/>
      <c r="L60" s="17" t="n"/>
    </row>
    <row r="61">
      <c r="A61" s="16" t="n"/>
      <c r="B61" s="12" t="n"/>
      <c r="C61" s="12" t="n"/>
      <c r="D61" s="12" t="n"/>
      <c r="E61" s="12" t="n"/>
      <c r="F61" s="12" t="n"/>
      <c r="G61" s="13" t="n"/>
      <c r="H61" s="23" t="n"/>
      <c r="I61" s="12" t="n"/>
      <c r="J61" s="12" t="n"/>
      <c r="K61" s="13" t="n"/>
      <c r="L61" s="17" t="n"/>
    </row>
    <row r="62">
      <c r="A62" s="16" t="n"/>
      <c r="B62" s="12" t="n"/>
      <c r="C62" s="12" t="n"/>
      <c r="D62" s="12" t="n"/>
      <c r="E62" s="12" t="n"/>
      <c r="F62" s="12" t="n"/>
      <c r="G62" s="13" t="n"/>
      <c r="H62" s="23" t="n"/>
      <c r="I62" s="12" t="n"/>
      <c r="J62" s="12" t="n"/>
      <c r="K62" s="13" t="n"/>
      <c r="L62" s="17" t="n"/>
    </row>
    <row r="63">
      <c r="A63" s="16" t="n"/>
      <c r="B63" s="12" t="n"/>
      <c r="C63" s="12" t="n"/>
      <c r="D63" s="12" t="n"/>
      <c r="E63" s="12" t="n"/>
      <c r="F63" s="12" t="n"/>
      <c r="G63" s="13" t="n"/>
      <c r="H63" s="23" t="n"/>
      <c r="I63" s="12" t="n"/>
      <c r="J63" s="12" t="n"/>
      <c r="K63" s="13" t="n"/>
      <c r="L63" s="17" t="n"/>
    </row>
    <row r="64">
      <c r="A64" s="16" t="n"/>
      <c r="B64" s="12" t="n"/>
      <c r="C64" s="12" t="n"/>
      <c r="D64" s="12" t="n"/>
      <c r="E64" s="12" t="n"/>
      <c r="F64" s="12" t="n"/>
      <c r="G64" s="13" t="n"/>
      <c r="H64" s="23" t="n"/>
      <c r="I64" s="12" t="n"/>
      <c r="J64" s="12" t="n"/>
      <c r="K64" s="13" t="n"/>
      <c r="L64" s="17" t="n"/>
    </row>
    <row r="65">
      <c r="A65" s="16" t="n"/>
      <c r="B65" s="12" t="n"/>
      <c r="C65" s="12" t="n"/>
      <c r="D65" s="12" t="n"/>
      <c r="E65" s="12" t="n"/>
      <c r="F65" s="12" t="n"/>
      <c r="G65" s="13" t="n"/>
      <c r="H65" s="23" t="n"/>
      <c r="I65" s="12" t="n"/>
      <c r="J65" s="12" t="n"/>
      <c r="K65" s="13" t="n"/>
      <c r="L65" s="17" t="n"/>
    </row>
    <row r="66">
      <c r="A66" s="16" t="n"/>
      <c r="B66" s="12" t="n"/>
      <c r="C66" s="12" t="n"/>
      <c r="D66" s="12" t="n"/>
      <c r="E66" s="12" t="n"/>
      <c r="F66" s="12" t="n"/>
      <c r="G66" s="13" t="n"/>
      <c r="H66" s="23" t="n"/>
      <c r="I66" s="12" t="n"/>
      <c r="J66" s="12" t="n"/>
      <c r="K66" s="13" t="n"/>
      <c r="L66" s="17" t="n"/>
    </row>
    <row r="67">
      <c r="A67" s="16" t="n"/>
      <c r="B67" s="12" t="n"/>
      <c r="C67" s="12" t="n"/>
      <c r="D67" s="12" t="n"/>
      <c r="E67" s="12" t="n"/>
      <c r="F67" s="12" t="n"/>
      <c r="G67" s="13" t="n"/>
      <c r="H67" s="23" t="n"/>
      <c r="I67" s="12" t="n"/>
      <c r="J67" s="12" t="n"/>
      <c r="K67" s="13" t="n"/>
      <c r="L67" s="17" t="n"/>
    </row>
    <row r="68">
      <c r="A68" s="16" t="n"/>
      <c r="B68" s="12" t="n"/>
      <c r="C68" s="12" t="n"/>
      <c r="D68" s="12" t="n"/>
      <c r="E68" s="12" t="n"/>
      <c r="F68" s="12" t="n"/>
      <c r="G68" s="13" t="n"/>
      <c r="H68" s="23" t="n"/>
      <c r="I68" s="12" t="n"/>
      <c r="J68" s="12" t="n"/>
      <c r="K68" s="13" t="n"/>
      <c r="L68" s="17" t="n"/>
    </row>
    <row r="69">
      <c r="A69" s="16" t="n"/>
      <c r="B69" s="12" t="n"/>
      <c r="C69" s="12" t="n"/>
      <c r="D69" s="12" t="n"/>
      <c r="E69" s="12" t="n"/>
      <c r="F69" s="12" t="n"/>
      <c r="G69" s="13" t="n"/>
      <c r="H69" s="23" t="n"/>
      <c r="I69" s="12" t="n"/>
      <c r="J69" s="12" t="n"/>
      <c r="K69" s="13" t="n"/>
      <c r="L69" s="17" t="n"/>
    </row>
    <row r="70">
      <c r="A70" s="16" t="n"/>
      <c r="B70" s="12" t="n"/>
      <c r="C70" s="12" t="n"/>
      <c r="D70" s="12" t="n"/>
      <c r="E70" s="12" t="n"/>
      <c r="F70" s="12" t="n"/>
      <c r="G70" s="13" t="n"/>
      <c r="H70" s="23" t="n"/>
      <c r="I70" s="12" t="n"/>
      <c r="J70" s="12" t="n"/>
      <c r="K70" s="13" t="n"/>
      <c r="L70" s="17" t="n"/>
    </row>
    <row r="71">
      <c r="A71" s="16" t="n"/>
      <c r="B71" s="12" t="n"/>
      <c r="C71" s="12" t="n"/>
      <c r="D71" s="12" t="n"/>
      <c r="E71" s="12" t="n"/>
      <c r="F71" s="12" t="n"/>
      <c r="G71" s="13" t="n"/>
      <c r="H71" s="23" t="n"/>
      <c r="I71" s="12" t="n"/>
      <c r="J71" s="12" t="n"/>
      <c r="K71" s="13" t="n"/>
      <c r="L71" s="17" t="n"/>
    </row>
    <row r="72">
      <c r="A72" s="16" t="n"/>
      <c r="B72" s="12" t="n"/>
      <c r="C72" s="12" t="n"/>
      <c r="D72" s="12" t="n"/>
      <c r="E72" s="12" t="n"/>
      <c r="F72" s="12" t="n"/>
      <c r="G72" s="13" t="n"/>
      <c r="H72" s="23" t="n"/>
      <c r="I72" s="12" t="n"/>
      <c r="J72" s="12" t="n"/>
      <c r="K72" s="13" t="n"/>
      <c r="L72" s="17" t="n"/>
    </row>
    <row r="73">
      <c r="A73" s="16" t="n"/>
      <c r="B73" s="12" t="n"/>
      <c r="C73" s="12" t="n"/>
      <c r="D73" s="12" t="n"/>
      <c r="E73" s="12" t="n"/>
      <c r="F73" s="12" t="n"/>
      <c r="G73" s="13" t="n"/>
      <c r="H73" s="23" t="n"/>
      <c r="I73" s="12" t="n"/>
      <c r="J73" s="12" t="n"/>
      <c r="K73" s="13" t="n"/>
      <c r="L73" s="17" t="n"/>
    </row>
    <row r="74">
      <c r="A74" s="16" t="n"/>
      <c r="B74" s="12" t="n"/>
      <c r="C74" s="12" t="n"/>
      <c r="D74" s="12" t="n"/>
      <c r="E74" s="12" t="n"/>
      <c r="F74" s="12" t="n"/>
      <c r="G74" s="13" t="n"/>
      <c r="H74" s="23" t="n"/>
      <c r="I74" s="12" t="n"/>
      <c r="J74" s="12" t="n"/>
      <c r="K74" s="13" t="n"/>
      <c r="L74" s="17" t="n"/>
    </row>
    <row r="75">
      <c r="A75" s="16" t="n"/>
      <c r="B75" s="12" t="n"/>
      <c r="C75" s="12" t="n"/>
      <c r="D75" s="12" t="n"/>
      <c r="E75" s="12" t="n"/>
      <c r="F75" s="12" t="n"/>
      <c r="G75" s="13" t="n"/>
      <c r="H75" s="23" t="n"/>
      <c r="I75" s="12" t="n"/>
      <c r="J75" s="12" t="n"/>
      <c r="K75" s="13" t="n"/>
      <c r="L75" s="17" t="n"/>
    </row>
    <row r="76">
      <c r="A76" s="16" t="n"/>
      <c r="B76" s="12" t="n"/>
      <c r="C76" s="12" t="n"/>
      <c r="D76" s="12" t="n"/>
      <c r="E76" s="12" t="n"/>
      <c r="F76" s="12" t="n"/>
      <c r="G76" s="13" t="n"/>
      <c r="H76" s="23" t="n"/>
      <c r="I76" s="12" t="n"/>
      <c r="J76" s="12" t="n"/>
      <c r="K76" s="13" t="n"/>
      <c r="L76" s="17" t="n"/>
    </row>
    <row r="77">
      <c r="A77" s="16" t="n"/>
      <c r="B77" s="12" t="n"/>
      <c r="C77" s="12" t="n"/>
      <c r="D77" s="12" t="n"/>
      <c r="E77" s="12" t="n"/>
      <c r="F77" s="12" t="n"/>
      <c r="G77" s="13" t="n"/>
      <c r="H77" s="23" t="n"/>
      <c r="I77" s="12" t="n"/>
      <c r="J77" s="12" t="n"/>
      <c r="K77" s="13" t="n"/>
      <c r="L77" s="17" t="n"/>
    </row>
    <row r="78">
      <c r="A78" s="16" t="n"/>
      <c r="B78" s="12" t="n"/>
      <c r="C78" s="12" t="n"/>
      <c r="D78" s="12" t="n"/>
      <c r="E78" s="12" t="n"/>
      <c r="F78" s="12" t="n"/>
      <c r="G78" s="13" t="n"/>
      <c r="H78" s="23" t="n"/>
      <c r="I78" s="12" t="n"/>
      <c r="J78" s="12" t="n"/>
      <c r="K78" s="13" t="n"/>
      <c r="L78" s="17" t="n"/>
    </row>
    <row r="79">
      <c r="A79" s="16" t="n"/>
      <c r="B79" s="12" t="n"/>
      <c r="C79" s="12" t="n"/>
      <c r="D79" s="12" t="n"/>
      <c r="E79" s="12" t="n"/>
      <c r="F79" s="12" t="n"/>
      <c r="G79" s="13" t="n"/>
      <c r="H79" s="23" t="n"/>
      <c r="I79" s="12" t="n"/>
      <c r="J79" s="12" t="n"/>
      <c r="K79" s="13" t="n"/>
      <c r="L79" s="17" t="n"/>
    </row>
    <row r="80">
      <c r="A80" s="16" t="n"/>
      <c r="B80" s="12" t="n"/>
      <c r="C80" s="12" t="n"/>
      <c r="D80" s="12" t="n"/>
      <c r="E80" s="12" t="n"/>
      <c r="F80" s="12" t="n"/>
      <c r="G80" s="13" t="n"/>
      <c r="H80" s="23" t="n"/>
      <c r="I80" s="12" t="n"/>
      <c r="J80" s="12" t="n"/>
      <c r="K80" s="13" t="n"/>
      <c r="L80" s="17" t="n"/>
    </row>
    <row r="81">
      <c r="A81" s="16" t="n"/>
      <c r="B81" s="12" t="n"/>
      <c r="C81" s="12" t="n"/>
      <c r="D81" s="12" t="n"/>
      <c r="E81" s="12" t="n"/>
      <c r="F81" s="12" t="n"/>
      <c r="G81" s="13" t="n"/>
      <c r="H81" s="23" t="n"/>
      <c r="I81" s="12" t="n"/>
      <c r="J81" s="12" t="n"/>
      <c r="K81" s="13" t="n"/>
      <c r="L81" s="17" t="n"/>
    </row>
    <row r="82">
      <c r="A82" s="16" t="n"/>
      <c r="B82" s="12" t="n"/>
      <c r="C82" s="12" t="n"/>
      <c r="D82" s="12" t="n"/>
      <c r="E82" s="12" t="n"/>
      <c r="F82" s="12" t="n"/>
      <c r="G82" s="13" t="n"/>
      <c r="H82" s="23" t="n"/>
      <c r="I82" s="12" t="n"/>
      <c r="J82" s="12" t="n"/>
      <c r="K82" s="13" t="n"/>
      <c r="L82" s="17" t="n"/>
    </row>
    <row r="83">
      <c r="A83" s="16" t="n"/>
      <c r="B83" s="12" t="n"/>
      <c r="C83" s="12" t="n"/>
      <c r="D83" s="12" t="n"/>
      <c r="E83" s="12" t="n"/>
      <c r="F83" s="12" t="n"/>
      <c r="G83" s="13" t="n"/>
      <c r="H83" s="23" t="n"/>
      <c r="I83" s="12" t="n"/>
      <c r="J83" s="12" t="n"/>
      <c r="K83" s="13" t="n"/>
      <c r="L83" s="17" t="n"/>
    </row>
    <row r="84">
      <c r="A84" s="16" t="n"/>
      <c r="B84" s="12" t="n"/>
      <c r="C84" s="12" t="n"/>
      <c r="D84" s="12" t="n"/>
      <c r="E84" s="12" t="n"/>
      <c r="F84" s="12" t="n"/>
      <c r="G84" s="13" t="n"/>
      <c r="H84" s="23" t="n"/>
      <c r="I84" s="12" t="n"/>
      <c r="J84" s="12" t="n"/>
      <c r="K84" s="13" t="n"/>
      <c r="L84" s="17" t="n"/>
    </row>
    <row r="85">
      <c r="A85" s="16" t="n"/>
      <c r="B85" s="12" t="n"/>
      <c r="C85" s="12" t="n"/>
      <c r="D85" s="12" t="n"/>
      <c r="E85" s="12" t="n"/>
      <c r="F85" s="12" t="n"/>
      <c r="G85" s="13" t="n"/>
      <c r="H85" s="23" t="n"/>
      <c r="I85" s="12" t="n"/>
      <c r="J85" s="12" t="n"/>
      <c r="K85" s="13" t="n"/>
      <c r="L85" s="17" t="n"/>
    </row>
    <row r="86">
      <c r="A86" s="16" t="n"/>
      <c r="B86" s="12" t="n"/>
      <c r="C86" s="12" t="n"/>
      <c r="D86" s="12" t="n"/>
      <c r="E86" s="12" t="n"/>
      <c r="F86" s="12" t="n"/>
      <c r="G86" s="13" t="n"/>
      <c r="H86" s="23" t="n"/>
      <c r="I86" s="12" t="n"/>
      <c r="J86" s="12" t="n"/>
      <c r="K86" s="13" t="n"/>
      <c r="L86" s="17" t="n"/>
    </row>
    <row r="87">
      <c r="A87" s="16" t="n"/>
      <c r="B87" s="12" t="n"/>
      <c r="C87" s="12" t="n"/>
      <c r="D87" s="12" t="n"/>
      <c r="E87" s="12" t="n"/>
      <c r="F87" s="12" t="n"/>
      <c r="G87" s="13" t="n"/>
      <c r="H87" s="23" t="n"/>
      <c r="I87" s="12" t="n"/>
      <c r="J87" s="12" t="n"/>
      <c r="K87" s="13" t="n"/>
      <c r="L87" s="17" t="n"/>
    </row>
    <row r="88">
      <c r="A88" s="16" t="n"/>
      <c r="B88" s="12" t="n"/>
      <c r="C88" s="12" t="n"/>
      <c r="D88" s="12" t="n"/>
      <c r="E88" s="12" t="n"/>
      <c r="F88" s="12" t="n"/>
      <c r="G88" s="13" t="n"/>
      <c r="H88" s="23" t="n"/>
      <c r="I88" s="12" t="n"/>
      <c r="J88" s="12" t="n"/>
      <c r="K88" s="13" t="n"/>
      <c r="L88" s="17" t="n"/>
    </row>
    <row r="89">
      <c r="A89" s="16" t="n"/>
      <c r="B89" s="12" t="n"/>
      <c r="C89" s="12" t="n"/>
      <c r="D89" s="12" t="n"/>
      <c r="E89" s="12" t="n"/>
      <c r="F89" s="12" t="n"/>
      <c r="G89" s="13" t="n"/>
      <c r="H89" s="23" t="n"/>
      <c r="I89" s="12" t="n"/>
      <c r="J89" s="12" t="n"/>
      <c r="K89" s="13" t="n"/>
      <c r="L89" s="17" t="n"/>
    </row>
    <row r="90">
      <c r="A90" s="16" t="n"/>
      <c r="B90" s="12" t="n"/>
      <c r="C90" s="12" t="n"/>
      <c r="D90" s="12" t="n"/>
      <c r="E90" s="12" t="n"/>
      <c r="F90" s="12" t="n"/>
      <c r="G90" s="13" t="n"/>
      <c r="H90" s="23" t="n"/>
      <c r="I90" s="12" t="n"/>
      <c r="J90" s="12" t="n"/>
      <c r="K90" s="13" t="n"/>
      <c r="L90" s="17" t="n"/>
    </row>
    <row r="91">
      <c r="A91" s="16" t="n"/>
      <c r="B91" s="12" t="n"/>
      <c r="C91" s="12" t="n"/>
      <c r="D91" s="12" t="n"/>
      <c r="E91" s="12" t="n"/>
      <c r="F91" s="12" t="n"/>
      <c r="G91" s="13" t="n"/>
      <c r="H91" s="23" t="n"/>
      <c r="I91" s="12" t="n"/>
      <c r="J91" s="12" t="n"/>
      <c r="K91" s="13" t="n"/>
      <c r="L91" s="17" t="n"/>
    </row>
    <row r="92">
      <c r="A92" s="16" t="n"/>
      <c r="B92" s="12" t="n"/>
      <c r="C92" s="12" t="n"/>
      <c r="D92" s="12" t="n"/>
      <c r="E92" s="12" t="n"/>
      <c r="F92" s="12" t="n"/>
      <c r="G92" s="13" t="n"/>
      <c r="H92" s="23" t="n"/>
      <c r="I92" s="12" t="n"/>
      <c r="J92" s="12" t="n"/>
      <c r="K92" s="13" t="n"/>
      <c r="L92" s="17" t="n"/>
    </row>
    <row r="93">
      <c r="A93" s="16" t="n"/>
      <c r="B93" s="12" t="n"/>
      <c r="C93" s="12" t="n"/>
      <c r="D93" s="12" t="n"/>
      <c r="E93" s="12" t="n"/>
      <c r="F93" s="12" t="n"/>
      <c r="G93" s="13" t="n"/>
      <c r="H93" s="23" t="n"/>
      <c r="I93" s="12" t="n"/>
      <c r="J93" s="12" t="n"/>
      <c r="K93" s="13" t="n"/>
      <c r="L93" s="17" t="n"/>
    </row>
    <row r="94">
      <c r="A94" s="16" t="n"/>
      <c r="B94" s="12" t="n"/>
      <c r="C94" s="12" t="n"/>
      <c r="D94" s="12" t="n"/>
      <c r="E94" s="12" t="n"/>
      <c r="F94" s="12" t="n"/>
      <c r="G94" s="13" t="n"/>
      <c r="H94" s="23" t="n"/>
      <c r="I94" s="12" t="n"/>
      <c r="J94" s="12" t="n"/>
      <c r="K94" s="13" t="n"/>
      <c r="L94" s="17" t="n"/>
    </row>
    <row r="95">
      <c r="A95" s="16" t="n"/>
      <c r="B95" s="12" t="n"/>
      <c r="C95" s="12" t="n"/>
      <c r="D95" s="12" t="n"/>
      <c r="E95" s="12" t="n"/>
      <c r="F95" s="12" t="n"/>
      <c r="G95" s="13" t="n"/>
      <c r="H95" s="23" t="n"/>
      <c r="I95" s="12" t="n"/>
      <c r="J95" s="12" t="n"/>
      <c r="K95" s="13" t="n"/>
      <c r="L95" s="17" t="n"/>
    </row>
    <row r="96">
      <c r="A96" s="16" t="n"/>
      <c r="B96" s="12" t="n"/>
      <c r="C96" s="12" t="n"/>
      <c r="D96" s="12" t="n"/>
      <c r="E96" s="12" t="n"/>
      <c r="F96" s="12" t="n"/>
      <c r="G96" s="13" t="n"/>
      <c r="H96" s="23" t="n"/>
      <c r="I96" s="12" t="n"/>
      <c r="J96" s="12" t="n"/>
      <c r="K96" s="13" t="n"/>
      <c r="L96" s="17" t="n"/>
    </row>
    <row r="97">
      <c r="A97" s="16" t="n"/>
      <c r="B97" s="12" t="n"/>
      <c r="C97" s="12" t="n"/>
      <c r="D97" s="12" t="n"/>
      <c r="E97" s="12" t="n"/>
      <c r="F97" s="12" t="n"/>
      <c r="G97" s="13" t="n"/>
      <c r="H97" s="23" t="n"/>
      <c r="I97" s="12" t="n"/>
      <c r="J97" s="12" t="n"/>
      <c r="K97" s="13" t="n"/>
      <c r="L97" s="17" t="n"/>
    </row>
    <row r="98">
      <c r="A98" s="16" t="n"/>
      <c r="B98" s="12" t="n"/>
      <c r="C98" s="12" t="n"/>
      <c r="D98" s="12" t="n"/>
      <c r="E98" s="12" t="n"/>
      <c r="F98" s="12" t="n"/>
      <c r="G98" s="13" t="n"/>
      <c r="H98" s="23" t="n"/>
      <c r="I98" s="12" t="n"/>
      <c r="J98" s="12" t="n"/>
      <c r="K98" s="13" t="n"/>
      <c r="L98" s="17" t="n"/>
    </row>
    <row r="99">
      <c r="A99" s="16" t="n"/>
      <c r="B99" s="12" t="n"/>
      <c r="C99" s="12" t="n"/>
      <c r="D99" s="12" t="n"/>
      <c r="E99" s="12" t="n"/>
      <c r="F99" s="12" t="n"/>
      <c r="G99" s="13" t="n"/>
      <c r="H99" s="23" t="n"/>
      <c r="I99" s="12" t="n"/>
      <c r="J99" s="12" t="n"/>
      <c r="K99" s="13" t="n"/>
      <c r="L99" s="17" t="n"/>
    </row>
    <row r="100">
      <c r="A100" s="16" t="n"/>
      <c r="B100" s="12" t="n"/>
      <c r="C100" s="12" t="n"/>
      <c r="D100" s="12" t="n"/>
      <c r="E100" s="12" t="n"/>
      <c r="F100" s="12" t="n"/>
      <c r="G100" s="13" t="n"/>
      <c r="H100" s="23" t="n"/>
      <c r="I100" s="12" t="n"/>
      <c r="J100" s="12" t="n"/>
      <c r="K100" s="13" t="n"/>
      <c r="L100" s="17" t="n"/>
    </row>
    <row r="101">
      <c r="A101" s="16" t="n"/>
      <c r="B101" s="12" t="n"/>
      <c r="C101" s="12" t="n"/>
      <c r="D101" s="12" t="n"/>
      <c r="E101" s="12" t="n"/>
      <c r="F101" s="12" t="n"/>
      <c r="G101" s="13" t="n"/>
      <c r="H101" s="23" t="n"/>
      <c r="I101" s="12" t="n"/>
      <c r="J101" s="12" t="n"/>
      <c r="K101" s="13" t="n"/>
      <c r="L101" s="17" t="n"/>
    </row>
    <row r="102">
      <c r="A102" s="16" t="n"/>
      <c r="B102" s="12" t="n"/>
      <c r="C102" s="12" t="n"/>
      <c r="D102" s="12" t="n"/>
      <c r="E102" s="12" t="n"/>
      <c r="F102" s="12" t="n"/>
      <c r="G102" s="13" t="n"/>
      <c r="H102" s="23" t="n"/>
      <c r="I102" s="12" t="n"/>
      <c r="J102" s="12" t="n"/>
      <c r="K102" s="13" t="n"/>
      <c r="L102" s="17" t="n"/>
    </row>
    <row r="103">
      <c r="A103" s="16" t="n"/>
      <c r="B103" s="12" t="n"/>
      <c r="C103" s="12" t="n"/>
      <c r="D103" s="12" t="n"/>
      <c r="E103" s="12" t="n"/>
      <c r="F103" s="12" t="n"/>
      <c r="G103" s="13" t="n"/>
      <c r="H103" s="23" t="n"/>
      <c r="I103" s="12" t="n"/>
      <c r="J103" s="12" t="n"/>
      <c r="K103" s="13" t="n"/>
      <c r="L103" s="17" t="n"/>
    </row>
    <row r="104">
      <c r="A104" s="16" t="n"/>
      <c r="B104" s="12" t="n"/>
      <c r="C104" s="12" t="n"/>
      <c r="D104" s="12" t="n"/>
      <c r="E104" s="12" t="n"/>
      <c r="F104" s="12" t="n"/>
      <c r="G104" s="13" t="n"/>
      <c r="H104" s="23" t="n"/>
      <c r="I104" s="12" t="n"/>
      <c r="J104" s="12" t="n"/>
      <c r="K104" s="13" t="n"/>
      <c r="L104" s="17" t="n"/>
    </row>
    <row r="105">
      <c r="A105" s="16" t="n"/>
      <c r="B105" s="12" t="n"/>
      <c r="C105" s="12" t="n"/>
      <c r="D105" s="12" t="n"/>
      <c r="E105" s="12" t="n"/>
      <c r="F105" s="12" t="n"/>
      <c r="G105" s="13" t="n"/>
      <c r="H105" s="23" t="n"/>
      <c r="I105" s="12" t="n"/>
      <c r="J105" s="12" t="n"/>
      <c r="K105" s="13" t="n"/>
      <c r="L105" s="17" t="n"/>
    </row>
    <row r="106">
      <c r="A106" s="16" t="n"/>
      <c r="B106" s="12" t="n"/>
      <c r="C106" s="12" t="n"/>
      <c r="D106" s="12" t="n"/>
      <c r="E106" s="12" t="n"/>
      <c r="F106" s="12" t="n"/>
      <c r="G106" s="13" t="n"/>
      <c r="H106" s="23" t="n"/>
      <c r="I106" s="12" t="n"/>
      <c r="J106" s="12" t="n"/>
      <c r="K106" s="13" t="n"/>
      <c r="L106" s="17" t="n"/>
    </row>
    <row r="107">
      <c r="A107" s="16" t="n"/>
      <c r="B107" s="12" t="n"/>
      <c r="C107" s="12" t="n"/>
      <c r="D107" s="12" t="n"/>
      <c r="E107" s="12" t="n"/>
      <c r="F107" s="12" t="n"/>
      <c r="G107" s="13" t="n"/>
      <c r="H107" s="23" t="n"/>
      <c r="I107" s="12" t="n"/>
      <c r="J107" s="12" t="n"/>
      <c r="K107" s="13" t="n"/>
      <c r="L107" s="17" t="n"/>
    </row>
    <row r="108">
      <c r="A108" s="16" t="n"/>
      <c r="B108" s="12" t="n"/>
      <c r="C108" s="12" t="n"/>
      <c r="D108" s="12" t="n"/>
      <c r="E108" s="12" t="n"/>
      <c r="F108" s="12" t="n"/>
      <c r="G108" s="13" t="n"/>
      <c r="H108" s="23" t="n"/>
      <c r="I108" s="12" t="n"/>
      <c r="J108" s="12" t="n"/>
      <c r="K108" s="13" t="n"/>
      <c r="L108" s="17" t="n"/>
    </row>
    <row r="109">
      <c r="A109" s="16" t="n"/>
      <c r="B109" s="12" t="n"/>
      <c r="C109" s="12" t="n"/>
      <c r="D109" s="12" t="n"/>
      <c r="E109" s="12" t="n"/>
      <c r="F109" s="12" t="n"/>
      <c r="G109" s="13" t="n"/>
      <c r="H109" s="23" t="n"/>
      <c r="I109" s="12" t="n"/>
      <c r="J109" s="12" t="n"/>
      <c r="K109" s="13" t="n"/>
      <c r="L109" s="17" t="n"/>
    </row>
    <row r="110">
      <c r="A110" s="16" t="n"/>
      <c r="B110" s="12" t="n"/>
      <c r="C110" s="12" t="n"/>
      <c r="D110" s="12" t="n"/>
      <c r="E110" s="12" t="n"/>
      <c r="F110" s="12" t="n"/>
      <c r="G110" s="13" t="n"/>
      <c r="H110" s="23" t="n"/>
      <c r="I110" s="12" t="n"/>
      <c r="J110" s="12" t="n"/>
      <c r="K110" s="13" t="n"/>
      <c r="L110" s="17" t="n"/>
    </row>
    <row r="111">
      <c r="A111" s="16" t="n"/>
      <c r="B111" s="12" t="n"/>
      <c r="C111" s="12" t="n"/>
      <c r="D111" s="12" t="n"/>
      <c r="E111" s="12" t="n"/>
      <c r="F111" s="12" t="n"/>
      <c r="G111" s="13" t="n"/>
      <c r="H111" s="23" t="n"/>
      <c r="I111" s="12" t="n"/>
      <c r="J111" s="12" t="n"/>
      <c r="K111" s="13" t="n"/>
      <c r="L111" s="17" t="n"/>
    </row>
    <row r="112">
      <c r="A112" s="16" t="n"/>
      <c r="B112" s="12" t="n"/>
      <c r="C112" s="12" t="n"/>
      <c r="D112" s="12" t="n"/>
      <c r="E112" s="12" t="n"/>
      <c r="F112" s="12" t="n"/>
      <c r="G112" s="13" t="n"/>
      <c r="H112" s="23" t="n"/>
      <c r="I112" s="12" t="n"/>
      <c r="J112" s="12" t="n"/>
      <c r="K112" s="13" t="n"/>
      <c r="L112" s="17" t="n"/>
    </row>
    <row r="113">
      <c r="A113" s="16" t="n"/>
      <c r="B113" s="12" t="n"/>
      <c r="C113" s="12" t="n"/>
      <c r="D113" s="12" t="n"/>
      <c r="E113" s="12" t="n"/>
      <c r="F113" s="12" t="n"/>
      <c r="G113" s="13" t="n"/>
      <c r="H113" s="23" t="n"/>
      <c r="I113" s="12" t="n"/>
      <c r="J113" s="12" t="n"/>
      <c r="K113" s="13" t="n"/>
      <c r="L113" s="17" t="n"/>
    </row>
    <row r="114">
      <c r="A114" s="16" t="n"/>
      <c r="B114" s="12" t="n"/>
      <c r="C114" s="12" t="n"/>
      <c r="D114" s="12" t="n"/>
      <c r="E114" s="12" t="n"/>
      <c r="F114" s="12" t="n"/>
      <c r="G114" s="13" t="n"/>
      <c r="H114" s="23" t="n"/>
      <c r="I114" s="12" t="n"/>
      <c r="J114" s="12" t="n"/>
      <c r="K114" s="13" t="n"/>
      <c r="L114" s="17" t="n"/>
    </row>
    <row r="115">
      <c r="A115" s="16" t="n"/>
      <c r="B115" s="12" t="n"/>
      <c r="C115" s="12" t="n"/>
      <c r="D115" s="12" t="n"/>
      <c r="E115" s="12" t="n"/>
      <c r="F115" s="12" t="n"/>
      <c r="G115" s="13" t="n"/>
      <c r="H115" s="23" t="n"/>
      <c r="I115" s="12" t="n"/>
      <c r="J115" s="12" t="n"/>
      <c r="K115" s="13" t="n"/>
      <c r="L115" s="17" t="n"/>
    </row>
    <row r="116">
      <c r="A116" s="16" t="n"/>
      <c r="B116" s="12" t="n"/>
      <c r="C116" s="12" t="n"/>
      <c r="D116" s="12" t="n"/>
      <c r="E116" s="12" t="n"/>
      <c r="F116" s="12" t="n"/>
      <c r="G116" s="13" t="n"/>
      <c r="H116" s="23" t="n"/>
      <c r="I116" s="12" t="n"/>
      <c r="J116" s="12" t="n"/>
      <c r="K116" s="13" t="n"/>
      <c r="L116" s="17" t="n"/>
    </row>
    <row r="117">
      <c r="A117" s="16" t="n"/>
      <c r="B117" s="12" t="n"/>
      <c r="C117" s="12" t="n"/>
      <c r="D117" s="12" t="n"/>
      <c r="E117" s="12" t="n"/>
      <c r="F117" s="12" t="n"/>
      <c r="G117" s="13" t="n"/>
      <c r="H117" s="23" t="n"/>
      <c r="I117" s="12" t="n"/>
      <c r="J117" s="12" t="n"/>
      <c r="K117" s="13" t="n"/>
      <c r="L117" s="17" t="n"/>
    </row>
    <row r="118">
      <c r="A118" s="16" t="n"/>
      <c r="B118" s="12" t="n"/>
      <c r="C118" s="12" t="n"/>
      <c r="D118" s="12" t="n"/>
      <c r="E118" s="12" t="n"/>
      <c r="F118" s="12" t="n"/>
      <c r="G118" s="13" t="n"/>
      <c r="H118" s="23" t="n"/>
      <c r="I118" s="12" t="n"/>
      <c r="J118" s="12" t="n"/>
      <c r="K118" s="13" t="n"/>
      <c r="L118" s="17" t="n"/>
    </row>
    <row r="119">
      <c r="A119" s="16" t="n"/>
      <c r="B119" s="12" t="n"/>
      <c r="C119" s="12" t="n"/>
      <c r="D119" s="12" t="n"/>
      <c r="E119" s="12" t="n"/>
      <c r="F119" s="12" t="n"/>
      <c r="G119" s="13" t="n"/>
      <c r="H119" s="23" t="n"/>
      <c r="I119" s="12" t="n"/>
      <c r="J119" s="12" t="n"/>
      <c r="K119" s="13" t="n"/>
      <c r="L119" s="17" t="n"/>
    </row>
    <row r="120">
      <c r="A120" s="16" t="n"/>
      <c r="B120" s="12" t="n"/>
      <c r="C120" s="12" t="n"/>
      <c r="D120" s="12" t="n"/>
      <c r="E120" s="12" t="n"/>
      <c r="F120" s="12" t="n"/>
      <c r="G120" s="13" t="n"/>
      <c r="H120" s="23" t="n"/>
      <c r="I120" s="12" t="n"/>
      <c r="J120" s="12" t="n"/>
      <c r="K120" s="13" t="n"/>
      <c r="L120" s="17" t="n"/>
    </row>
    <row r="121">
      <c r="A121" s="16" t="n"/>
      <c r="B121" s="12" t="n"/>
      <c r="C121" s="12" t="n"/>
      <c r="D121" s="12" t="n"/>
      <c r="E121" s="12" t="n"/>
      <c r="F121" s="12" t="n"/>
      <c r="G121" s="13" t="n"/>
      <c r="H121" s="23" t="n"/>
      <c r="I121" s="12" t="n"/>
      <c r="J121" s="12" t="n"/>
      <c r="K121" s="13" t="n"/>
      <c r="L121" s="17" t="n"/>
    </row>
    <row r="122">
      <c r="A122" s="16" t="n"/>
      <c r="B122" s="12" t="n"/>
      <c r="C122" s="12" t="n"/>
      <c r="D122" s="12" t="n"/>
      <c r="E122" s="12" t="n"/>
      <c r="F122" s="12" t="n"/>
      <c r="G122" s="13" t="n"/>
      <c r="H122" s="23" t="n"/>
      <c r="I122" s="12" t="n"/>
      <c r="J122" s="12" t="n"/>
      <c r="K122" s="13" t="n"/>
      <c r="L122" s="17" t="n"/>
    </row>
    <row r="123">
      <c r="A123" s="16" t="n"/>
      <c r="B123" s="12" t="n"/>
      <c r="C123" s="12" t="n"/>
      <c r="D123" s="12" t="n"/>
      <c r="E123" s="12" t="n"/>
      <c r="F123" s="12" t="n"/>
      <c r="G123" s="13" t="n"/>
      <c r="H123" s="23" t="n"/>
      <c r="I123" s="12" t="n"/>
      <c r="J123" s="12" t="n"/>
      <c r="K123" s="13" t="n"/>
      <c r="L123" s="17" t="n"/>
    </row>
    <row r="124">
      <c r="A124" s="16" t="n"/>
      <c r="B124" s="12" t="n"/>
      <c r="C124" s="12" t="n"/>
      <c r="D124" s="12" t="n"/>
      <c r="E124" s="12" t="n"/>
      <c r="F124" s="12" t="n"/>
      <c r="G124" s="13" t="n"/>
      <c r="H124" s="23" t="n"/>
      <c r="I124" s="12" t="n"/>
      <c r="J124" s="12" t="n"/>
      <c r="K124" s="13" t="n"/>
      <c r="L124" s="17" t="n"/>
    </row>
    <row r="125">
      <c r="A125" s="16" t="n"/>
      <c r="B125" s="12" t="n"/>
      <c r="C125" s="12" t="n"/>
      <c r="D125" s="12" t="n"/>
      <c r="E125" s="12" t="n"/>
      <c r="F125" s="12" t="n"/>
      <c r="G125" s="13" t="n"/>
      <c r="H125" s="23" t="n"/>
      <c r="I125" s="12" t="n"/>
      <c r="J125" s="12" t="n"/>
      <c r="K125" s="13" t="n"/>
      <c r="L125" s="17" t="n"/>
    </row>
    <row r="126">
      <c r="A126" s="16" t="n"/>
      <c r="B126" s="12" t="n"/>
      <c r="C126" s="12" t="n"/>
      <c r="D126" s="12" t="n"/>
      <c r="E126" s="12" t="n"/>
      <c r="F126" s="12" t="n"/>
      <c r="G126" s="13" t="n"/>
      <c r="H126" s="23" t="n"/>
      <c r="I126" s="12" t="n"/>
      <c r="J126" s="12" t="n"/>
      <c r="K126" s="13" t="n"/>
      <c r="L126" s="17" t="n"/>
    </row>
    <row r="127">
      <c r="A127" s="16" t="n"/>
      <c r="B127" s="12" t="n"/>
      <c r="C127" s="12" t="n"/>
      <c r="D127" s="12" t="n"/>
      <c r="E127" s="12" t="n"/>
      <c r="F127" s="12" t="n"/>
      <c r="G127" s="13" t="n"/>
      <c r="H127" s="23" t="n"/>
      <c r="I127" s="12" t="n"/>
      <c r="J127" s="12" t="n"/>
      <c r="K127" s="13" t="n"/>
      <c r="L127" s="17" t="n"/>
    </row>
    <row r="128">
      <c r="A128" s="16" t="n"/>
      <c r="B128" s="12" t="n"/>
      <c r="C128" s="12" t="n"/>
      <c r="D128" s="12" t="n"/>
      <c r="E128" s="12" t="n"/>
      <c r="F128" s="12" t="n"/>
      <c r="G128" s="13" t="n"/>
      <c r="H128" s="23" t="n"/>
      <c r="I128" s="12" t="n"/>
      <c r="J128" s="12" t="n"/>
      <c r="K128" s="13" t="n"/>
      <c r="L128" s="17" t="n"/>
    </row>
    <row r="129">
      <c r="A129" s="16" t="n"/>
      <c r="B129" s="12" t="n"/>
      <c r="C129" s="12" t="n"/>
      <c r="D129" s="12" t="n"/>
      <c r="E129" s="12" t="n"/>
      <c r="F129" s="12" t="n"/>
      <c r="G129" s="13" t="n"/>
      <c r="H129" s="23" t="n"/>
      <c r="I129" s="12" t="n"/>
      <c r="J129" s="12" t="n"/>
      <c r="K129" s="13" t="n"/>
      <c r="L129" s="17" t="n"/>
    </row>
    <row r="130">
      <c r="A130" s="16" t="n"/>
      <c r="B130" s="12" t="n"/>
      <c r="C130" s="12" t="n"/>
      <c r="D130" s="12" t="n"/>
      <c r="E130" s="12" t="n"/>
      <c r="F130" s="12" t="n"/>
      <c r="G130" s="13" t="n"/>
      <c r="H130" s="23" t="n"/>
      <c r="I130" s="12" t="n"/>
      <c r="J130" s="12" t="n"/>
      <c r="K130" s="13" t="n"/>
      <c r="L130" s="17" t="n"/>
    </row>
    <row r="131">
      <c r="A131" s="16" t="n"/>
      <c r="B131" s="12" t="n"/>
      <c r="C131" s="12" t="n"/>
      <c r="D131" s="12" t="n"/>
      <c r="E131" s="12" t="n"/>
      <c r="F131" s="12" t="n"/>
      <c r="G131" s="13" t="n"/>
      <c r="H131" s="23" t="n"/>
      <c r="I131" s="12" t="n"/>
      <c r="J131" s="12" t="n"/>
      <c r="K131" s="13" t="n"/>
      <c r="L131" s="17" t="n"/>
    </row>
    <row r="132">
      <c r="A132" s="16" t="n"/>
      <c r="B132" s="12" t="n"/>
      <c r="C132" s="12" t="n"/>
      <c r="D132" s="12" t="n"/>
      <c r="E132" s="12" t="n"/>
      <c r="F132" s="12" t="n"/>
      <c r="G132" s="13" t="n"/>
      <c r="H132" s="23" t="n"/>
      <c r="I132" s="12" t="n"/>
      <c r="J132" s="12" t="n"/>
      <c r="K132" s="13" t="n"/>
      <c r="L132" s="17" t="n"/>
    </row>
    <row r="133">
      <c r="A133" s="16" t="n"/>
      <c r="B133" s="12" t="n"/>
      <c r="C133" s="12" t="n"/>
      <c r="D133" s="12" t="n"/>
      <c r="E133" s="12" t="n"/>
      <c r="F133" s="12" t="n"/>
      <c r="G133" s="13" t="n"/>
      <c r="H133" s="23" t="n"/>
      <c r="I133" s="12" t="n"/>
      <c r="J133" s="12" t="n"/>
      <c r="K133" s="13" t="n"/>
      <c r="L133" s="17" t="n"/>
    </row>
    <row r="134">
      <c r="A134" s="16" t="n"/>
      <c r="B134" s="12" t="n"/>
      <c r="C134" s="12" t="n"/>
      <c r="D134" s="12" t="n"/>
      <c r="E134" s="12" t="n"/>
      <c r="F134" s="12" t="n"/>
      <c r="G134" s="13" t="n"/>
      <c r="H134" s="23" t="n"/>
      <c r="I134" s="12" t="n"/>
      <c r="J134" s="12" t="n"/>
      <c r="K134" s="13" t="n"/>
      <c r="L134" s="17" t="n"/>
    </row>
    <row r="135">
      <c r="A135" s="16" t="n"/>
      <c r="B135" s="12" t="n"/>
      <c r="C135" s="12" t="n"/>
      <c r="D135" s="12" t="n"/>
      <c r="E135" s="12" t="n"/>
      <c r="F135" s="12" t="n"/>
      <c r="G135" s="13" t="n"/>
      <c r="H135" s="23" t="n"/>
      <c r="I135" s="12" t="n"/>
      <c r="J135" s="12" t="n"/>
      <c r="K135" s="13" t="n"/>
      <c r="L135" s="17" t="n"/>
    </row>
    <row r="136">
      <c r="A136" s="16" t="n"/>
      <c r="B136" s="12" t="n"/>
      <c r="C136" s="12" t="n"/>
      <c r="D136" s="12" t="n"/>
      <c r="E136" s="12" t="n"/>
      <c r="F136" s="12" t="n"/>
      <c r="G136" s="13" t="n"/>
      <c r="H136" s="23" t="n"/>
      <c r="I136" s="12" t="n"/>
      <c r="J136" s="12" t="n"/>
      <c r="K136" s="13" t="n"/>
      <c r="L136" s="17" t="n"/>
    </row>
    <row r="137">
      <c r="A137" s="16" t="n"/>
      <c r="B137" s="12" t="n"/>
      <c r="C137" s="12" t="n"/>
      <c r="D137" s="12" t="n"/>
      <c r="E137" s="12" t="n"/>
      <c r="F137" s="12" t="n"/>
      <c r="G137" s="13" t="n"/>
      <c r="H137" s="23" t="n"/>
      <c r="I137" s="12" t="n"/>
      <c r="J137" s="12" t="n"/>
      <c r="K137" s="13" t="n"/>
      <c r="L137" s="17" t="n"/>
    </row>
    <row r="138">
      <c r="A138" s="16" t="n"/>
      <c r="B138" s="12" t="n"/>
      <c r="C138" s="12" t="n"/>
      <c r="D138" s="12" t="n"/>
      <c r="E138" s="12" t="n"/>
      <c r="F138" s="12" t="n"/>
      <c r="G138" s="13" t="n"/>
      <c r="H138" s="23" t="n"/>
      <c r="I138" s="12" t="n"/>
      <c r="J138" s="12" t="n"/>
      <c r="K138" s="13" t="n"/>
      <c r="L138" s="17" t="n"/>
    </row>
    <row r="139">
      <c r="A139" s="16" t="n"/>
      <c r="B139" s="12" t="n"/>
      <c r="C139" s="12" t="n"/>
      <c r="D139" s="12" t="n"/>
      <c r="E139" s="12" t="n"/>
      <c r="F139" s="12" t="n"/>
      <c r="G139" s="13" t="n"/>
      <c r="H139" s="23" t="n"/>
      <c r="I139" s="12" t="n"/>
      <c r="J139" s="12" t="n"/>
      <c r="K139" s="13" t="n"/>
      <c r="L139" s="17" t="n"/>
    </row>
    <row r="140">
      <c r="A140" s="16" t="n"/>
      <c r="B140" s="12" t="n"/>
      <c r="C140" s="12" t="n"/>
      <c r="D140" s="12" t="n"/>
      <c r="E140" s="12" t="n"/>
      <c r="F140" s="12" t="n"/>
      <c r="G140" s="13" t="n"/>
      <c r="H140" s="23" t="n"/>
      <c r="I140" s="12" t="n"/>
      <c r="J140" s="12" t="n"/>
      <c r="K140" s="13" t="n"/>
      <c r="L140" s="17" t="n"/>
    </row>
    <row r="141">
      <c r="A141" s="16" t="n"/>
      <c r="B141" s="12" t="n"/>
      <c r="C141" s="12" t="n"/>
      <c r="D141" s="12" t="n"/>
      <c r="E141" s="12" t="n"/>
      <c r="F141" s="12" t="n"/>
      <c r="G141" s="13" t="n"/>
      <c r="H141" s="23" t="n"/>
      <c r="I141" s="12" t="n"/>
      <c r="J141" s="12" t="n"/>
      <c r="K141" s="13" t="n"/>
      <c r="L141" s="17" t="n"/>
    </row>
    <row r="142">
      <c r="A142" s="16" t="n"/>
      <c r="B142" s="12" t="n"/>
      <c r="C142" s="12" t="n"/>
      <c r="D142" s="12" t="n"/>
      <c r="E142" s="12" t="n"/>
      <c r="F142" s="12" t="n"/>
      <c r="G142" s="13" t="n"/>
      <c r="H142" s="23" t="n"/>
      <c r="I142" s="12" t="n"/>
      <c r="J142" s="12" t="n"/>
      <c r="K142" s="13" t="n"/>
      <c r="L142" s="17" t="n"/>
    </row>
    <row r="143">
      <c r="A143" s="16" t="n"/>
      <c r="B143" s="12" t="n"/>
      <c r="C143" s="12" t="n"/>
      <c r="D143" s="12" t="n"/>
      <c r="E143" s="12" t="n"/>
      <c r="F143" s="12" t="n"/>
      <c r="G143" s="13" t="n"/>
      <c r="H143" s="23" t="n"/>
      <c r="I143" s="12" t="n"/>
      <c r="J143" s="12" t="n"/>
      <c r="K143" s="13" t="n"/>
      <c r="L143" s="17" t="n"/>
    </row>
    <row r="144">
      <c r="A144" s="16" t="n"/>
      <c r="B144" s="12" t="n"/>
      <c r="C144" s="12" t="n"/>
      <c r="D144" s="12" t="n"/>
      <c r="E144" s="12" t="n"/>
      <c r="F144" s="12" t="n"/>
      <c r="G144" s="13" t="n"/>
      <c r="H144" s="23" t="n"/>
      <c r="I144" s="12" t="n"/>
      <c r="J144" s="12" t="n"/>
      <c r="K144" s="13" t="n"/>
      <c r="L144" s="17" t="n"/>
    </row>
    <row r="145">
      <c r="A145" s="16" t="n"/>
      <c r="B145" s="12" t="n"/>
      <c r="C145" s="12" t="n"/>
      <c r="D145" s="12" t="n"/>
      <c r="E145" s="12" t="n"/>
      <c r="F145" s="12" t="n"/>
      <c r="G145" s="13" t="n"/>
      <c r="H145" s="23" t="n"/>
      <c r="I145" s="12" t="n"/>
      <c r="J145" s="12" t="n"/>
      <c r="K145" s="13" t="n"/>
      <c r="L145" s="17" t="n"/>
    </row>
    <row r="146">
      <c r="A146" s="16" t="n"/>
      <c r="B146" s="12" t="n"/>
      <c r="C146" s="12" t="n"/>
      <c r="D146" s="12" t="n"/>
      <c r="E146" s="12" t="n"/>
      <c r="F146" s="12" t="n"/>
      <c r="G146" s="13" t="n"/>
      <c r="H146" s="23" t="n"/>
      <c r="I146" s="12" t="n"/>
      <c r="J146" s="12" t="n"/>
      <c r="K146" s="13" t="n"/>
      <c r="L146" s="17" t="n"/>
    </row>
    <row r="147">
      <c r="A147" s="16" t="n"/>
      <c r="B147" s="12" t="n"/>
      <c r="C147" s="12" t="n"/>
      <c r="D147" s="12" t="n"/>
      <c r="E147" s="12" t="n"/>
      <c r="F147" s="12" t="n"/>
      <c r="G147" s="13" t="n"/>
      <c r="H147" s="23" t="n"/>
      <c r="I147" s="12" t="n"/>
      <c r="J147" s="12" t="n"/>
      <c r="K147" s="13" t="n"/>
      <c r="L147" s="17" t="n"/>
    </row>
    <row r="148">
      <c r="A148" s="16" t="n"/>
      <c r="B148" s="12" t="n"/>
      <c r="C148" s="12" t="n"/>
      <c r="D148" s="12" t="n"/>
      <c r="E148" s="12" t="n"/>
      <c r="F148" s="12" t="n"/>
      <c r="G148" s="13" t="n"/>
      <c r="H148" s="23" t="n"/>
      <c r="I148" s="12" t="n"/>
      <c r="J148" s="12" t="n"/>
      <c r="K148" s="13" t="n"/>
      <c r="L148" s="17" t="n"/>
    </row>
    <row r="149">
      <c r="A149" s="16" t="n"/>
      <c r="B149" s="12" t="n"/>
      <c r="C149" s="12" t="n"/>
      <c r="D149" s="12" t="n"/>
      <c r="E149" s="12" t="n"/>
      <c r="F149" s="12" t="n"/>
      <c r="G149" s="13" t="n"/>
      <c r="H149" s="23" t="n"/>
      <c r="I149" s="12" t="n"/>
      <c r="J149" s="12" t="n"/>
      <c r="K149" s="13" t="n"/>
      <c r="L149" s="17" t="n"/>
    </row>
    <row r="150">
      <c r="A150" s="16" t="n"/>
      <c r="B150" s="12" t="n"/>
      <c r="C150" s="12" t="n"/>
      <c r="D150" s="12" t="n"/>
      <c r="E150" s="12" t="n"/>
      <c r="F150" s="12" t="n"/>
      <c r="G150" s="13" t="n"/>
      <c r="H150" s="23" t="n"/>
      <c r="I150" s="12" t="n"/>
      <c r="J150" s="12" t="n"/>
      <c r="K150" s="13" t="n"/>
      <c r="L150" s="17" t="n"/>
    </row>
    <row r="151">
      <c r="A151" s="16" t="n"/>
      <c r="B151" s="12" t="n"/>
      <c r="C151" s="12" t="n"/>
      <c r="D151" s="12" t="n"/>
      <c r="E151" s="12" t="n"/>
      <c r="F151" s="12" t="n"/>
      <c r="G151" s="13" t="n"/>
      <c r="H151" s="23" t="n"/>
      <c r="I151" s="12" t="n"/>
      <c r="J151" s="12" t="n"/>
      <c r="K151" s="13" t="n"/>
      <c r="L151" s="17" t="n"/>
    </row>
    <row r="152">
      <c r="A152" s="16" t="n"/>
      <c r="B152" s="12" t="n"/>
      <c r="C152" s="12" t="n"/>
      <c r="D152" s="12" t="n"/>
      <c r="E152" s="12" t="n"/>
      <c r="F152" s="12" t="n"/>
      <c r="G152" s="13" t="n"/>
      <c r="H152" s="23" t="n"/>
      <c r="I152" s="12" t="n"/>
      <c r="J152" s="12" t="n"/>
      <c r="K152" s="13" t="n"/>
      <c r="L152" s="17" t="n"/>
    </row>
    <row r="153">
      <c r="A153" s="16" t="n"/>
      <c r="B153" s="12" t="n"/>
      <c r="C153" s="12" t="n"/>
      <c r="D153" s="12" t="n"/>
      <c r="E153" s="12" t="n"/>
      <c r="F153" s="12" t="n"/>
      <c r="G153" s="13" t="n"/>
      <c r="H153" s="23" t="n"/>
      <c r="I153" s="12" t="n"/>
      <c r="J153" s="12" t="n"/>
      <c r="K153" s="13" t="n"/>
      <c r="L153" s="17" t="n"/>
    </row>
    <row r="154">
      <c r="A154" s="16" t="n"/>
      <c r="B154" s="12" t="n"/>
      <c r="C154" s="12" t="n"/>
      <c r="D154" s="12" t="n"/>
      <c r="E154" s="12" t="n"/>
      <c r="F154" s="12" t="n"/>
      <c r="G154" s="13" t="n"/>
      <c r="H154" s="23" t="n"/>
      <c r="I154" s="12" t="n"/>
      <c r="J154" s="12" t="n"/>
      <c r="K154" s="13" t="n"/>
      <c r="L154" s="17" t="n"/>
    </row>
    <row r="155">
      <c r="A155" s="16" t="n"/>
      <c r="B155" s="12" t="n"/>
      <c r="C155" s="12" t="n"/>
      <c r="D155" s="12" t="n"/>
      <c r="E155" s="12" t="n"/>
      <c r="F155" s="12" t="n"/>
      <c r="G155" s="13" t="n"/>
      <c r="H155" s="23" t="n"/>
      <c r="I155" s="12" t="n"/>
      <c r="J155" s="12" t="n"/>
      <c r="K155" s="13" t="n"/>
      <c r="L155" s="17" t="n"/>
    </row>
    <row r="156">
      <c r="A156" s="16" t="n"/>
      <c r="B156" s="12" t="n"/>
      <c r="C156" s="12" t="n"/>
      <c r="D156" s="12" t="n"/>
      <c r="E156" s="12" t="n"/>
      <c r="F156" s="12" t="n"/>
      <c r="G156" s="13" t="n"/>
      <c r="H156" s="23" t="n"/>
      <c r="I156" s="12" t="n"/>
      <c r="J156" s="12" t="n"/>
      <c r="K156" s="13" t="n"/>
      <c r="L156" s="17" t="n"/>
    </row>
    <row r="157">
      <c r="A157" s="16" t="n"/>
      <c r="B157" s="12" t="n"/>
      <c r="C157" s="12" t="n"/>
      <c r="D157" s="12" t="n"/>
      <c r="E157" s="12" t="n"/>
      <c r="F157" s="12" t="n"/>
      <c r="G157" s="13" t="n"/>
      <c r="H157" s="23" t="n"/>
      <c r="I157" s="12" t="n"/>
      <c r="J157" s="12" t="n"/>
      <c r="K157" s="13" t="n"/>
      <c r="L157" s="17" t="n"/>
    </row>
    <row r="158">
      <c r="A158" s="16" t="n"/>
      <c r="B158" s="12" t="n"/>
      <c r="C158" s="12" t="n"/>
      <c r="D158" s="12" t="n"/>
      <c r="E158" s="12" t="n"/>
      <c r="F158" s="12" t="n"/>
      <c r="G158" s="13" t="n"/>
      <c r="H158" s="23" t="n"/>
      <c r="I158" s="12" t="n"/>
      <c r="J158" s="12" t="n"/>
      <c r="K158" s="13" t="n"/>
      <c r="L158" s="17" t="n"/>
    </row>
    <row r="159">
      <c r="A159" s="16" t="n"/>
      <c r="B159" s="12" t="n"/>
      <c r="C159" s="12" t="n"/>
      <c r="D159" s="12" t="n"/>
      <c r="E159" s="12" t="n"/>
      <c r="F159" s="12" t="n"/>
      <c r="G159" s="13" t="n"/>
      <c r="H159" s="23" t="n"/>
      <c r="I159" s="12" t="n"/>
      <c r="J159" s="12" t="n"/>
      <c r="K159" s="13" t="n"/>
      <c r="L159" s="17" t="n"/>
    </row>
    <row r="160">
      <c r="A160" s="16" t="n"/>
      <c r="B160" s="12" t="n"/>
      <c r="C160" s="12" t="n"/>
      <c r="D160" s="12" t="n"/>
      <c r="E160" s="12" t="n"/>
      <c r="F160" s="12" t="n"/>
      <c r="G160" s="13" t="n"/>
      <c r="H160" s="23" t="n"/>
      <c r="I160" s="12" t="n"/>
      <c r="J160" s="12" t="n"/>
      <c r="K160" s="13" t="n"/>
      <c r="L160" s="17" t="n"/>
    </row>
    <row r="161">
      <c r="A161" s="16" t="n"/>
      <c r="B161" s="12" t="n"/>
      <c r="C161" s="12" t="n"/>
      <c r="D161" s="12" t="n"/>
      <c r="E161" s="12" t="n"/>
      <c r="F161" s="12" t="n"/>
      <c r="G161" s="13" t="n"/>
      <c r="H161" s="23" t="n"/>
      <c r="I161" s="12" t="n"/>
      <c r="J161" s="12" t="n"/>
      <c r="K161" s="13" t="n"/>
      <c r="L161" s="17" t="n"/>
    </row>
    <row r="162">
      <c r="A162" s="16" t="n"/>
      <c r="B162" s="12" t="n"/>
      <c r="C162" s="12" t="n"/>
      <c r="D162" s="12" t="n"/>
      <c r="E162" s="12" t="n"/>
      <c r="F162" s="12" t="n"/>
      <c r="G162" s="13" t="n"/>
      <c r="H162" s="23" t="n"/>
      <c r="I162" s="12" t="n"/>
      <c r="J162" s="12" t="n"/>
      <c r="K162" s="13" t="n"/>
      <c r="L162" s="17" t="n"/>
    </row>
    <row r="163">
      <c r="A163" s="16" t="n"/>
      <c r="B163" s="12" t="n"/>
      <c r="C163" s="12" t="n"/>
      <c r="D163" s="12" t="n"/>
      <c r="E163" s="12" t="n"/>
      <c r="F163" s="12" t="n"/>
      <c r="G163" s="13" t="n"/>
      <c r="H163" s="23" t="n"/>
      <c r="I163" s="12" t="n"/>
      <c r="J163" s="12" t="n"/>
      <c r="K163" s="13" t="n"/>
      <c r="L163" s="17" t="n"/>
    </row>
    <row r="164">
      <c r="A164" s="16" t="n"/>
      <c r="B164" s="12" t="n"/>
      <c r="C164" s="12" t="n"/>
      <c r="D164" s="12" t="n"/>
      <c r="E164" s="12" t="n"/>
      <c r="F164" s="12" t="n"/>
      <c r="G164" s="13" t="n"/>
      <c r="H164" s="23" t="n"/>
      <c r="I164" s="12" t="n"/>
      <c r="J164" s="12" t="n"/>
      <c r="K164" s="13" t="n"/>
      <c r="L164" s="17" t="n"/>
    </row>
    <row r="165">
      <c r="A165" s="16" t="n"/>
      <c r="B165" s="12" t="n"/>
      <c r="C165" s="12" t="n"/>
      <c r="D165" s="12" t="n"/>
      <c r="E165" s="12" t="n"/>
      <c r="F165" s="12" t="n"/>
      <c r="G165" s="13" t="n"/>
      <c r="H165" s="23" t="n"/>
      <c r="I165" s="12" t="n"/>
      <c r="J165" s="12" t="n"/>
      <c r="K165" s="13" t="n"/>
      <c r="L165" s="17" t="n"/>
    </row>
    <row r="166">
      <c r="A166" s="16" t="n"/>
      <c r="B166" s="12" t="n"/>
      <c r="C166" s="12" t="n"/>
      <c r="D166" s="12" t="n"/>
      <c r="E166" s="12" t="n"/>
      <c r="F166" s="12" t="n"/>
      <c r="G166" s="13" t="n"/>
      <c r="H166" s="23" t="n"/>
      <c r="I166" s="12" t="n"/>
      <c r="J166" s="12" t="n"/>
      <c r="K166" s="13" t="n"/>
      <c r="L166" s="17" t="n"/>
    </row>
    <row r="167">
      <c r="A167" s="16" t="n"/>
      <c r="B167" s="12" t="n"/>
      <c r="C167" s="12" t="n"/>
      <c r="D167" s="12" t="n"/>
      <c r="E167" s="12" t="n"/>
      <c r="F167" s="12" t="n"/>
      <c r="G167" s="13" t="n"/>
      <c r="H167" s="23" t="n"/>
      <c r="I167" s="12" t="n"/>
      <c r="J167" s="12" t="n"/>
      <c r="K167" s="13" t="n"/>
      <c r="L167" s="17" t="n"/>
    </row>
    <row r="168">
      <c r="A168" s="16" t="n"/>
      <c r="B168" s="12" t="n"/>
      <c r="C168" s="12" t="n"/>
      <c r="D168" s="12" t="n"/>
      <c r="E168" s="12" t="n"/>
      <c r="F168" s="12" t="n"/>
      <c r="G168" s="13" t="n"/>
      <c r="H168" s="23" t="n"/>
      <c r="I168" s="12" t="n"/>
      <c r="J168" s="12" t="n"/>
      <c r="K168" s="13" t="n"/>
      <c r="L168" s="17" t="n"/>
    </row>
    <row r="169">
      <c r="A169" s="16" t="n"/>
      <c r="B169" s="12" t="n"/>
      <c r="C169" s="12" t="n"/>
      <c r="D169" s="12" t="n"/>
      <c r="E169" s="12" t="n"/>
      <c r="F169" s="12" t="n"/>
      <c r="G169" s="13" t="n"/>
      <c r="H169" s="23" t="n"/>
      <c r="I169" s="12" t="n"/>
      <c r="J169" s="12" t="n"/>
      <c r="K169" s="13" t="n"/>
      <c r="L169" s="17" t="n"/>
    </row>
    <row r="170">
      <c r="A170" s="16" t="n"/>
      <c r="B170" s="12" t="n"/>
      <c r="C170" s="12" t="n"/>
      <c r="D170" s="12" t="n"/>
      <c r="E170" s="12" t="n"/>
      <c r="F170" s="12" t="n"/>
      <c r="G170" s="13" t="n"/>
      <c r="H170" s="23" t="n"/>
      <c r="I170" s="12" t="n"/>
      <c r="J170" s="12" t="n"/>
      <c r="K170" s="13" t="n"/>
      <c r="L170" s="17" t="n"/>
    </row>
    <row r="171">
      <c r="A171" s="16" t="n"/>
      <c r="B171" s="12" t="n"/>
      <c r="C171" s="12" t="n"/>
      <c r="D171" s="12" t="n"/>
      <c r="E171" s="12" t="n"/>
      <c r="F171" s="12" t="n"/>
      <c r="G171" s="13" t="n"/>
      <c r="H171" s="23" t="n"/>
      <c r="I171" s="12" t="n"/>
      <c r="J171" s="12" t="n"/>
      <c r="K171" s="13" t="n"/>
      <c r="L171" s="17" t="n"/>
    </row>
    <row r="172">
      <c r="A172" s="16" t="n"/>
      <c r="B172" s="12" t="n"/>
      <c r="C172" s="12" t="n"/>
      <c r="D172" s="12" t="n"/>
      <c r="E172" s="12" t="n"/>
      <c r="F172" s="12" t="n"/>
      <c r="G172" s="13" t="n"/>
      <c r="H172" s="23" t="n"/>
      <c r="I172" s="12" t="n"/>
      <c r="J172" s="12" t="n"/>
      <c r="K172" s="13" t="n"/>
      <c r="L172" s="17" t="n"/>
    </row>
    <row r="173">
      <c r="A173" s="16" t="n"/>
      <c r="B173" s="12" t="n"/>
      <c r="C173" s="12" t="n"/>
      <c r="D173" s="12" t="n"/>
      <c r="E173" s="12" t="n"/>
      <c r="F173" s="12" t="n"/>
      <c r="G173" s="13" t="n"/>
      <c r="H173" s="23" t="n"/>
      <c r="I173" s="12" t="n"/>
      <c r="J173" s="12" t="n"/>
      <c r="K173" s="13" t="n"/>
      <c r="L173" s="17" t="n"/>
    </row>
    <row r="174">
      <c r="A174" s="16" t="n"/>
      <c r="B174" s="12" t="n"/>
      <c r="C174" s="12" t="n"/>
      <c r="D174" s="12" t="n"/>
      <c r="E174" s="12" t="n"/>
      <c r="F174" s="12" t="n"/>
      <c r="G174" s="13" t="n"/>
      <c r="H174" s="23" t="n"/>
      <c r="I174" s="12" t="n"/>
      <c r="J174" s="12" t="n"/>
      <c r="K174" s="13" t="n"/>
      <c r="L174" s="17" t="n"/>
    </row>
    <row r="175">
      <c r="A175" s="16" t="n"/>
      <c r="B175" s="12" t="n"/>
      <c r="C175" s="12" t="n"/>
      <c r="D175" s="12" t="n"/>
      <c r="E175" s="12" t="n"/>
      <c r="F175" s="12" t="n"/>
      <c r="G175" s="13" t="n"/>
      <c r="H175" s="23" t="n"/>
      <c r="I175" s="12" t="n"/>
      <c r="J175" s="12" t="n"/>
      <c r="K175" s="13" t="n"/>
      <c r="L175" s="17" t="n"/>
    </row>
    <row r="176">
      <c r="A176" s="16" t="n"/>
      <c r="B176" s="12" t="n"/>
      <c r="C176" s="12" t="n"/>
      <c r="D176" s="12" t="n"/>
      <c r="E176" s="12" t="n"/>
      <c r="F176" s="12" t="n"/>
      <c r="G176" s="13" t="n"/>
      <c r="H176" s="23" t="n"/>
      <c r="I176" s="12" t="n"/>
      <c r="J176" s="12" t="n"/>
      <c r="K176" s="13" t="n"/>
      <c r="L176" s="17" t="n"/>
    </row>
    <row r="177">
      <c r="A177" s="16" t="n"/>
      <c r="B177" s="12" t="n"/>
      <c r="C177" s="12" t="n"/>
      <c r="D177" s="12" t="n"/>
      <c r="E177" s="12" t="n"/>
      <c r="F177" s="12" t="n"/>
      <c r="G177" s="13" t="n"/>
      <c r="H177" s="23" t="n"/>
      <c r="I177" s="12" t="n"/>
      <c r="J177" s="12" t="n"/>
      <c r="K177" s="13" t="n"/>
      <c r="L177" s="17" t="n"/>
    </row>
    <row r="178">
      <c r="A178" s="16" t="n"/>
      <c r="B178" s="12" t="n"/>
      <c r="C178" s="12" t="n"/>
      <c r="D178" s="12" t="n"/>
      <c r="E178" s="12" t="n"/>
      <c r="F178" s="12" t="n"/>
      <c r="G178" s="13" t="n"/>
      <c r="H178" s="23" t="n"/>
      <c r="I178" s="12" t="n"/>
      <c r="J178" s="12" t="n"/>
      <c r="K178" s="13" t="n"/>
      <c r="L178" s="17" t="n"/>
    </row>
    <row r="179">
      <c r="A179" s="16" t="n"/>
      <c r="B179" s="12" t="n"/>
      <c r="C179" s="12" t="n"/>
      <c r="D179" s="12" t="n"/>
      <c r="E179" s="12" t="n"/>
      <c r="F179" s="12" t="n"/>
      <c r="G179" s="13" t="n"/>
      <c r="H179" s="23" t="n"/>
      <c r="I179" s="12" t="n"/>
      <c r="J179" s="12" t="n"/>
      <c r="K179" s="13" t="n"/>
      <c r="L179" s="17" t="n"/>
    </row>
    <row r="180">
      <c r="A180" s="16" t="n"/>
      <c r="B180" s="12" t="n"/>
      <c r="C180" s="12" t="n"/>
      <c r="D180" s="12" t="n"/>
      <c r="E180" s="12" t="n"/>
      <c r="F180" s="12" t="n"/>
      <c r="G180" s="13" t="n"/>
      <c r="H180" s="23" t="n"/>
      <c r="I180" s="12" t="n"/>
      <c r="J180" s="12" t="n"/>
      <c r="K180" s="13" t="n"/>
      <c r="L180" s="17" t="n"/>
    </row>
    <row r="181">
      <c r="A181" s="16" t="n"/>
      <c r="B181" s="12" t="n"/>
      <c r="C181" s="12" t="n"/>
      <c r="D181" s="12" t="n"/>
      <c r="E181" s="12" t="n"/>
      <c r="F181" s="12" t="n"/>
      <c r="G181" s="13" t="n"/>
      <c r="H181" s="23" t="n"/>
      <c r="I181" s="12" t="n"/>
      <c r="J181" s="12" t="n"/>
      <c r="K181" s="13" t="n"/>
      <c r="L181" s="17" t="n"/>
    </row>
    <row r="182">
      <c r="A182" s="16" t="n"/>
      <c r="B182" s="12" t="n"/>
      <c r="C182" s="12" t="n"/>
      <c r="D182" s="12" t="n"/>
      <c r="E182" s="12" t="n"/>
      <c r="F182" s="12" t="n"/>
      <c r="G182" s="13" t="n"/>
      <c r="H182" s="23" t="n"/>
      <c r="I182" s="12" t="n"/>
      <c r="J182" s="12" t="n"/>
      <c r="K182" s="13" t="n"/>
      <c r="L182" s="17" t="n"/>
    </row>
    <row r="183">
      <c r="A183" s="16" t="n"/>
      <c r="B183" s="12" t="n"/>
      <c r="C183" s="12" t="n"/>
      <c r="D183" s="12" t="n"/>
      <c r="E183" s="12" t="n"/>
      <c r="F183" s="12" t="n"/>
      <c r="G183" s="13" t="n"/>
      <c r="H183" s="23" t="n"/>
      <c r="I183" s="12" t="n"/>
      <c r="J183" s="12" t="n"/>
      <c r="K183" s="13" t="n"/>
      <c r="L183" s="17" t="n"/>
    </row>
    <row r="184">
      <c r="A184" s="16" t="n"/>
      <c r="B184" s="12" t="n"/>
      <c r="C184" s="12" t="n"/>
      <c r="D184" s="12" t="n"/>
      <c r="E184" s="12" t="n"/>
      <c r="F184" s="12" t="n"/>
      <c r="G184" s="13" t="n"/>
      <c r="H184" s="23" t="n"/>
      <c r="I184" s="12" t="n"/>
      <c r="J184" s="12" t="n"/>
      <c r="K184" s="13" t="n"/>
      <c r="L184" s="17" t="n"/>
    </row>
    <row r="185">
      <c r="A185" s="16" t="n"/>
      <c r="B185" s="12" t="n"/>
      <c r="C185" s="12" t="n"/>
      <c r="D185" s="12" t="n"/>
      <c r="E185" s="12" t="n"/>
      <c r="F185" s="12" t="n"/>
      <c r="G185" s="13" t="n"/>
      <c r="H185" s="23" t="n"/>
      <c r="I185" s="12" t="n"/>
      <c r="J185" s="12" t="n"/>
      <c r="K185" s="13" t="n"/>
      <c r="L185" s="17" t="n"/>
    </row>
    <row r="186">
      <c r="A186" s="16" t="n"/>
      <c r="B186" s="12" t="n"/>
      <c r="C186" s="12" t="n"/>
      <c r="D186" s="12" t="n"/>
      <c r="E186" s="12" t="n"/>
      <c r="F186" s="12" t="n"/>
      <c r="G186" s="13" t="n"/>
      <c r="H186" s="23" t="n"/>
      <c r="I186" s="12" t="n"/>
      <c r="J186" s="12" t="n"/>
      <c r="K186" s="13" t="n"/>
      <c r="L186" s="17" t="n"/>
    </row>
    <row r="187">
      <c r="A187" s="16" t="n"/>
      <c r="B187" s="12" t="n"/>
      <c r="C187" s="12" t="n"/>
      <c r="D187" s="12" t="n"/>
      <c r="E187" s="12" t="n"/>
      <c r="F187" s="12" t="n"/>
      <c r="G187" s="13" t="n"/>
      <c r="H187" s="23" t="n"/>
      <c r="I187" s="12" t="n"/>
      <c r="J187" s="12" t="n"/>
      <c r="K187" s="13" t="n"/>
      <c r="L187" s="17" t="n"/>
    </row>
    <row r="188">
      <c r="A188" s="16" t="n"/>
      <c r="B188" s="12" t="n"/>
      <c r="C188" s="12" t="n"/>
      <c r="D188" s="12" t="n"/>
      <c r="E188" s="12" t="n"/>
      <c r="F188" s="12" t="n"/>
      <c r="G188" s="13" t="n"/>
      <c r="H188" s="23" t="n"/>
      <c r="I188" s="12" t="n"/>
      <c r="J188" s="12" t="n"/>
      <c r="K188" s="13" t="n"/>
      <c r="L188" s="17" t="n"/>
    </row>
    <row r="189">
      <c r="A189" s="16" t="n"/>
      <c r="B189" s="12" t="n"/>
      <c r="C189" s="12" t="n"/>
      <c r="D189" s="12" t="n"/>
      <c r="E189" s="12" t="n"/>
      <c r="F189" s="12" t="n"/>
      <c r="G189" s="13" t="n"/>
      <c r="H189" s="23" t="n"/>
      <c r="I189" s="12" t="n"/>
      <c r="J189" s="12" t="n"/>
      <c r="K189" s="13" t="n"/>
      <c r="L189" s="17" t="n"/>
    </row>
    <row r="190">
      <c r="A190" s="16" t="n"/>
      <c r="B190" s="12" t="n"/>
      <c r="C190" s="12" t="n"/>
      <c r="D190" s="12" t="n"/>
      <c r="E190" s="12" t="n"/>
      <c r="F190" s="12" t="n"/>
      <c r="G190" s="13" t="n"/>
      <c r="H190" s="23" t="n"/>
      <c r="I190" s="12" t="n"/>
      <c r="J190" s="12" t="n"/>
      <c r="K190" s="13" t="n"/>
      <c r="L190" s="17" t="n"/>
    </row>
    <row r="191">
      <c r="A191" s="16" t="n"/>
      <c r="B191" s="12" t="n"/>
      <c r="C191" s="12" t="n"/>
      <c r="D191" s="12" t="n"/>
      <c r="E191" s="12" t="n"/>
      <c r="F191" s="12" t="n"/>
      <c r="G191" s="13" t="n"/>
      <c r="H191" s="23" t="n"/>
      <c r="I191" s="12" t="n"/>
      <c r="J191" s="12" t="n"/>
      <c r="K191" s="13" t="n"/>
      <c r="L191" s="17" t="n"/>
    </row>
    <row r="192">
      <c r="A192" s="16" t="n"/>
      <c r="B192" s="12" t="n"/>
      <c r="C192" s="12" t="n"/>
      <c r="D192" s="12" t="n"/>
      <c r="E192" s="12" t="n"/>
      <c r="F192" s="12" t="n"/>
      <c r="G192" s="13" t="n"/>
      <c r="H192" s="23" t="n"/>
      <c r="I192" s="12" t="n"/>
      <c r="J192" s="12" t="n"/>
      <c r="K192" s="13" t="n"/>
      <c r="L192" s="17" t="n"/>
    </row>
    <row r="193">
      <c r="A193" s="16" t="n"/>
      <c r="B193" s="12" t="n"/>
      <c r="C193" s="12" t="n"/>
      <c r="D193" s="12" t="n"/>
      <c r="E193" s="12" t="n"/>
      <c r="F193" s="12" t="n"/>
      <c r="G193" s="13" t="n"/>
      <c r="H193" s="23" t="n"/>
      <c r="I193" s="12" t="n"/>
      <c r="J193" s="12" t="n"/>
      <c r="K193" s="13" t="n"/>
      <c r="L193" s="17" t="n"/>
    </row>
    <row r="194">
      <c r="A194" s="16" t="n"/>
      <c r="B194" s="12" t="n"/>
      <c r="C194" s="12" t="n"/>
      <c r="D194" s="12" t="n"/>
      <c r="E194" s="12" t="n"/>
      <c r="F194" s="12" t="n"/>
      <c r="G194" s="13" t="n"/>
      <c r="H194" s="23" t="n"/>
      <c r="I194" s="12" t="n"/>
      <c r="J194" s="12" t="n"/>
      <c r="K194" s="13" t="n"/>
      <c r="L194" s="17" t="n"/>
    </row>
    <row r="195">
      <c r="A195" s="16" t="n"/>
      <c r="B195" s="12" t="n"/>
      <c r="C195" s="12" t="n"/>
      <c r="D195" s="12" t="n"/>
      <c r="E195" s="12" t="n"/>
      <c r="F195" s="12" t="n"/>
      <c r="G195" s="13" t="n"/>
      <c r="H195" s="23" t="n"/>
      <c r="I195" s="12" t="n"/>
      <c r="J195" s="12" t="n"/>
      <c r="K195" s="13" t="n"/>
      <c r="L195" s="17" t="n"/>
    </row>
    <row r="196">
      <c r="A196" s="16" t="n"/>
      <c r="B196" s="12" t="n"/>
      <c r="C196" s="12" t="n"/>
      <c r="D196" s="12" t="n"/>
      <c r="E196" s="12" t="n"/>
      <c r="F196" s="12" t="n"/>
      <c r="G196" s="13" t="n"/>
      <c r="H196" s="23" t="n"/>
      <c r="I196" s="12" t="n"/>
      <c r="J196" s="12" t="n"/>
      <c r="K196" s="13" t="n"/>
      <c r="L196" s="17" t="n"/>
    </row>
    <row r="197">
      <c r="A197" s="16" t="n"/>
      <c r="B197" s="12" t="n"/>
      <c r="C197" s="12" t="n"/>
      <c r="D197" s="12" t="n"/>
      <c r="E197" s="12" t="n"/>
      <c r="F197" s="12" t="n"/>
      <c r="G197" s="13" t="n"/>
      <c r="H197" s="23" t="n"/>
      <c r="I197" s="12" t="n"/>
      <c r="J197" s="12" t="n"/>
      <c r="K197" s="13" t="n"/>
      <c r="L197" s="17" t="n"/>
    </row>
    <row r="198">
      <c r="A198" s="16" t="n"/>
      <c r="B198" s="12" t="n"/>
      <c r="C198" s="12" t="n"/>
      <c r="D198" s="12" t="n"/>
      <c r="E198" s="12" t="n"/>
      <c r="F198" s="12" t="n"/>
      <c r="G198" s="13" t="n"/>
      <c r="H198" s="23" t="n"/>
      <c r="I198" s="12" t="n"/>
      <c r="J198" s="12" t="n"/>
      <c r="K198" s="13" t="n"/>
      <c r="L198" s="17" t="n"/>
    </row>
    <row r="199">
      <c r="A199" s="16" t="n"/>
      <c r="B199" s="12" t="n"/>
      <c r="C199" s="12" t="n"/>
      <c r="D199" s="12" t="n"/>
      <c r="E199" s="12" t="n"/>
      <c r="F199" s="12" t="n"/>
      <c r="G199" s="13" t="n"/>
      <c r="H199" s="23" t="n"/>
      <c r="I199" s="12" t="n"/>
      <c r="J199" s="12" t="n"/>
      <c r="K199" s="13" t="n"/>
      <c r="L199" s="17" t="n"/>
    </row>
    <row r="200">
      <c r="A200" s="16" t="n"/>
      <c r="B200" s="12" t="n"/>
      <c r="C200" s="12" t="n"/>
      <c r="D200" s="12" t="n"/>
      <c r="E200" s="12" t="n"/>
      <c r="F200" s="12" t="n"/>
      <c r="G200" s="13" t="n"/>
      <c r="H200" s="23" t="n"/>
      <c r="I200" s="12" t="n"/>
      <c r="J200" s="12" t="n"/>
      <c r="K200" s="13" t="n"/>
      <c r="L200" s="17" t="n"/>
    </row>
    <row r="201">
      <c r="A201" s="18" t="n"/>
      <c r="B201" s="19" t="n"/>
      <c r="C201" s="19" t="n"/>
      <c r="D201" s="19" t="n"/>
      <c r="E201" s="19" t="n"/>
      <c r="F201" s="19" t="n"/>
      <c r="G201" s="20" t="n"/>
      <c r="H201" s="24" t="n"/>
      <c r="I201" s="19" t="n"/>
      <c r="J201" s="19" t="n"/>
      <c r="K201" s="20" t="n"/>
      <c r="L201" s="22" t="n"/>
    </row>
  </sheetData>
  <mergeCells count="1">
    <mergeCell ref="A1:L1"/>
  </mergeCells>
  <conditionalFormatting sqref="J3:J201">
    <cfRule type="expression" priority="1" dxfId="1">
      <formula>J3="Yes"</formula>
    </cfRule>
    <cfRule type="expression" priority="2" dxfId="0">
      <formula>J3="No"</formula>
    </cfRule>
  </conditionalFormatting>
  <dataValidations count="2">
    <dataValidation sqref="C3:C201" showDropDown="0" showInputMessage="0" showErrorMessage="0" allowBlank="0" type="list">
      <formula1>"Unit 1 / Phase 1,Phase 2,Phase 3,Final"</formula1>
    </dataValidation>
    <dataValidation sqref="J3:J201"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01"/>
  <sheetViews>
    <sheetView topLeftCell="C4" zoomScale="87" workbookViewId="0">
      <selection activeCell="C7" sqref="C7"/>
    </sheetView>
  </sheetViews>
  <sheetFormatPr baseColWidth="8" defaultRowHeight="14.25"/>
  <cols>
    <col width="13" customWidth="1" min="1" max="1"/>
    <col width="19" customWidth="1" min="2" max="2"/>
    <col width="18" customWidth="1" min="3" max="3"/>
    <col width="28" customWidth="1" min="4" max="6"/>
    <col width="42" customWidth="1" min="7" max="7"/>
    <col width="32" customWidth="1" min="8" max="8"/>
    <col width="34" customWidth="1" min="9" max="9"/>
  </cols>
  <sheetData>
    <row r="1" ht="30" customHeight="1">
      <c r="A1" s="38" t="inlineStr">
        <is>
          <t>Stakeholder Engagement Record</t>
        </is>
      </c>
    </row>
    <row r="2" ht="30" customHeight="1">
      <c r="A2" s="35" t="inlineStr">
        <is>
          <t>Date</t>
        </is>
      </c>
      <c r="B2" s="15" t="inlineStr">
        <is>
          <t>Reporting Phase</t>
        </is>
      </c>
      <c r="C2" s="15" t="inlineStr">
        <is>
          <t>Type of Engagement</t>
        </is>
      </c>
      <c r="D2" s="15" t="inlineStr">
        <is>
          <t>Purpose</t>
        </is>
      </c>
      <c r="E2" s="15" t="inlineStr">
        <is>
          <t>Students Present</t>
        </is>
      </c>
      <c r="F2" s="15" t="inlineStr">
        <is>
          <t>Stakeholder Present / Role</t>
        </is>
      </c>
      <c r="G2" s="15" t="inlineStr">
        <is>
          <t>Main Findings</t>
        </is>
      </c>
      <c r="H2" s="15" t="inlineStr">
        <is>
          <t>Action Required</t>
        </is>
      </c>
      <c r="I2" s="36" t="inlineStr">
        <is>
          <t>Evidence / Link</t>
        </is>
      </c>
    </row>
    <row r="3" ht="42.75" customHeight="1">
      <c r="A3" s="25" t="n">
        <v>46254</v>
      </c>
      <c r="B3" s="12" t="inlineStr">
        <is>
          <t>Unit 1 / Phase 1</t>
        </is>
      </c>
      <c r="C3" s="12" t="inlineStr">
        <is>
          <t>Online Meeting</t>
        </is>
      </c>
      <c r="D3" s="12" t="inlineStr">
        <is>
          <t>Introduce the project and identify the school's current enrol</t>
        </is>
      </c>
      <c r="E3" s="12" t="inlineStr">
        <is>
          <t>PIJ Lebusa, KI Makhoali, M Lepitla, M Motaung , DT Adegbola</t>
        </is>
      </c>
      <c r="F3" s="12" t="inlineStr">
        <is>
          <t>Maleshoane Adegbola - Principal, Zukiswa Khondlo - Secretary</t>
        </is>
      </c>
      <c r="G3" s="12" t="inlineStr">
        <is>
          <t>Stakeholder was confirmed and a date for formal interview was set.</t>
        </is>
      </c>
      <c r="H3" s="12" t="inlineStr">
        <is>
          <t>Gather detailed requirements and arrange formal interview.</t>
        </is>
      </c>
      <c r="I3" s="17" t="inlineStr">
        <is>
          <t>Appendex B</t>
        </is>
      </c>
    </row>
    <row r="4" ht="42.75" customHeight="1">
      <c r="A4" s="25" t="n">
        <v>46258</v>
      </c>
      <c r="B4" s="12" t="inlineStr">
        <is>
          <t>Unit 1 / Phase 1</t>
        </is>
      </c>
      <c r="C4" s="12" t="inlineStr">
        <is>
          <t>Online Meeting</t>
        </is>
      </c>
      <c r="D4" s="12" t="inlineStr">
        <is>
          <t xml:space="preserve">Full formal stakeholder needs-assessment interview </t>
        </is>
      </c>
      <c r="E4" s="12" t="inlineStr">
        <is>
          <t>KI Makhoali, PIJ Lebusa, M Lepitla, M Motaung, DT Adegbola, LR Mahlatsi</t>
        </is>
      </c>
      <c r="F4" s="12" t="inlineStr">
        <is>
          <t>Zukiswa Khondlo - Secretary to the Principal who is the delegate representative</t>
        </is>
      </c>
      <c r="G4" s="12" t="inlineStr">
        <is>
          <t>All the 12 interview questions were answered. All the findings were gathered and were also confirmed the same day.</t>
        </is>
      </c>
      <c r="H4" s="12" t="inlineStr">
        <is>
          <t>Update the STS with the findings and proceed with feasibility and risk analysis</t>
        </is>
      </c>
      <c r="I4" s="17" t="inlineStr">
        <is>
          <t>Appendex C</t>
        </is>
      </c>
    </row>
    <row r="5" ht="85.5" customHeight="1">
      <c r="A5" s="25" t="n">
        <v>46279</v>
      </c>
      <c r="B5" s="12" t="inlineStr">
        <is>
          <t>Unit 3 / Phase 2</t>
        </is>
      </c>
      <c r="C5" s="12" t="inlineStr">
        <is>
          <t>Whatsapp Meeting</t>
        </is>
      </c>
      <c r="D5" s="12" t="inlineStr">
        <is>
          <t>Feedback on Figma Wireframes</t>
        </is>
      </c>
      <c r="E5" s="12" t="inlineStr">
        <is>
          <t>David Adegbola</t>
        </is>
      </c>
      <c r="F5" s="12" t="inlineStr">
        <is>
          <t>Zukiswa Khondlo - Secretary to the Principal who is the delegate representative</t>
        </is>
      </c>
      <c r="G5" s="12" t="inlineStr">
        <is>
          <t>The Stakeholder Requested we Use Brown and White as the main colors of the interface</t>
        </is>
      </c>
      <c r="H5" s="12" t="inlineStr">
        <is>
          <t>Update the flutter and ASP.NET wireframes using brown and white as the primary color scheme, with supporting neutral/accent colours where needed for readability and status indicators</t>
        </is>
      </c>
      <c r="I5" s="17" t="n"/>
    </row>
    <row r="6" ht="99.75" customHeight="1">
      <c r="A6" s="25" t="n">
        <v>46286</v>
      </c>
      <c r="B6" s="12" t="inlineStr">
        <is>
          <t>Unit 3 / Phase 2</t>
        </is>
      </c>
      <c r="C6" s="12" t="inlineStr">
        <is>
          <t>Whatsapp Meeting</t>
        </is>
      </c>
      <c r="D6" s="12" t="inlineStr">
        <is>
          <t>Feedback on Enrollment fee and School Banking Details</t>
        </is>
      </c>
      <c r="E6" s="12" t="inlineStr">
        <is>
          <t>David Adegbola</t>
        </is>
      </c>
      <c r="F6" s="12" t="inlineStr">
        <is>
          <t>Zukiswa Khondlo - Secretary to the Principal who is the delegate representative</t>
        </is>
      </c>
      <c r="G6" s="12" t="inlineStr">
        <is>
          <t>Display the required enrollment fee and school banking details in the parent-facing payment step and allow parents to enter a payment reference before uploading the proof of payment</t>
        </is>
      </c>
      <c r="H6" s="12" t="inlineStr">
        <is>
          <t>Added a dedicated Payment Information screen displaying the fee and banking details and updated proof of payment screen to capture the payment reference before the proof of payment document is uploaded</t>
        </is>
      </c>
      <c r="I6" s="17" t="n"/>
    </row>
    <row r="7">
      <c r="A7" s="25" t="n"/>
      <c r="B7" s="12" t="n"/>
      <c r="C7" s="12" t="n"/>
      <c r="D7" s="12" t="n"/>
      <c r="E7" s="12" t="n"/>
      <c r="F7" s="12" t="n"/>
      <c r="G7" s="12" t="n"/>
      <c r="H7" s="12" t="n"/>
      <c r="I7" s="17" t="n"/>
    </row>
    <row r="8">
      <c r="A8" s="25" t="n"/>
      <c r="B8" s="12" t="n"/>
      <c r="C8" s="12" t="n"/>
      <c r="D8" s="12" t="n"/>
      <c r="E8" s="12" t="n"/>
      <c r="F8" s="12" t="n"/>
      <c r="G8" s="12" t="n"/>
      <c r="H8" s="12" t="n"/>
      <c r="I8" s="17" t="n"/>
    </row>
    <row r="9">
      <c r="A9" s="25" t="n"/>
      <c r="B9" s="12" t="n"/>
      <c r="C9" s="12" t="n"/>
      <c r="D9" s="12" t="n"/>
      <c r="E9" s="12" t="n"/>
      <c r="F9" s="12" t="n"/>
      <c r="G9" s="12" t="n"/>
      <c r="H9" s="12" t="n"/>
      <c r="I9" s="17" t="n"/>
    </row>
    <row r="10">
      <c r="A10" s="25" t="n"/>
      <c r="B10" s="12" t="n"/>
      <c r="C10" s="12" t="n"/>
      <c r="D10" s="12" t="n"/>
      <c r="E10" s="12" t="n"/>
      <c r="F10" s="12" t="n"/>
      <c r="G10" s="12" t="n"/>
      <c r="H10" s="12" t="n"/>
      <c r="I10" s="17" t="n"/>
    </row>
    <row r="11">
      <c r="A11" s="25" t="n"/>
      <c r="B11" s="12" t="n"/>
      <c r="C11" s="12" t="n"/>
      <c r="D11" s="12" t="n"/>
      <c r="E11" s="12" t="n"/>
      <c r="F11" s="12" t="n"/>
      <c r="G11" s="12" t="n"/>
      <c r="H11" s="12" t="n"/>
      <c r="I11" s="17" t="n"/>
    </row>
    <row r="12">
      <c r="A12" s="25" t="n"/>
      <c r="B12" s="12" t="n"/>
      <c r="C12" s="12" t="n"/>
      <c r="D12" s="12" t="n"/>
      <c r="E12" s="12" t="n"/>
      <c r="F12" s="12" t="n"/>
      <c r="G12" s="12" t="n"/>
      <c r="H12" s="12" t="n"/>
      <c r="I12" s="17" t="n"/>
    </row>
    <row r="13">
      <c r="A13" s="25" t="n"/>
      <c r="B13" s="12" t="n"/>
      <c r="C13" s="12" t="n"/>
      <c r="D13" s="12" t="n"/>
      <c r="E13" s="12" t="n"/>
      <c r="F13" s="12" t="n"/>
      <c r="G13" s="12" t="n"/>
      <c r="H13" s="12" t="n"/>
      <c r="I13" s="17" t="n"/>
    </row>
    <row r="14">
      <c r="A14" s="25" t="n"/>
      <c r="B14" s="12" t="n"/>
      <c r="C14" s="12" t="n"/>
      <c r="D14" s="12" t="n"/>
      <c r="E14" s="12" t="n"/>
      <c r="F14" s="12" t="n"/>
      <c r="G14" s="12" t="n"/>
      <c r="H14" s="12" t="n"/>
      <c r="I14" s="17" t="n"/>
    </row>
    <row r="15">
      <c r="A15" s="25" t="n"/>
      <c r="B15" s="12" t="n"/>
      <c r="C15" s="12" t="n"/>
      <c r="D15" s="12" t="n"/>
      <c r="E15" s="12" t="n"/>
      <c r="F15" s="12" t="n"/>
      <c r="G15" s="12" t="n"/>
      <c r="H15" s="12" t="n"/>
      <c r="I15" s="17" t="n"/>
    </row>
    <row r="16">
      <c r="A16" s="25" t="n"/>
      <c r="B16" s="12" t="n"/>
      <c r="C16" s="12" t="n"/>
      <c r="D16" s="12" t="n"/>
      <c r="E16" s="12" t="n"/>
      <c r="F16" s="12" t="n"/>
      <c r="G16" s="12" t="n"/>
      <c r="H16" s="12" t="n"/>
      <c r="I16" s="17" t="n"/>
    </row>
    <row r="17">
      <c r="A17" s="25" t="n"/>
      <c r="B17" s="12" t="n"/>
      <c r="C17" s="12" t="n"/>
      <c r="D17" s="12" t="n"/>
      <c r="E17" s="12" t="n"/>
      <c r="F17" s="12" t="n"/>
      <c r="G17" s="12" t="n"/>
      <c r="H17" s="12" t="n"/>
      <c r="I17" s="17" t="n"/>
    </row>
    <row r="18">
      <c r="A18" s="25" t="n"/>
      <c r="B18" s="12" t="n"/>
      <c r="C18" s="12" t="n"/>
      <c r="D18" s="12" t="n"/>
      <c r="E18" s="12" t="n"/>
      <c r="F18" s="12" t="n"/>
      <c r="G18" s="12" t="n"/>
      <c r="H18" s="12" t="n"/>
      <c r="I18" s="17" t="n"/>
    </row>
    <row r="19">
      <c r="A19" s="25" t="n"/>
      <c r="B19" s="12" t="n"/>
      <c r="C19" s="12" t="n"/>
      <c r="D19" s="12" t="n"/>
      <c r="E19" s="12" t="n"/>
      <c r="F19" s="12" t="n"/>
      <c r="G19" s="12" t="n"/>
      <c r="H19" s="12" t="n"/>
      <c r="I19" s="17" t="n"/>
    </row>
    <row r="20">
      <c r="A20" s="25" t="n"/>
      <c r="B20" s="12" t="n"/>
      <c r="C20" s="12" t="n"/>
      <c r="D20" s="12" t="n"/>
      <c r="E20" s="12" t="n"/>
      <c r="F20" s="12" t="n"/>
      <c r="G20" s="12" t="n"/>
      <c r="H20" s="12" t="n"/>
      <c r="I20" s="17" t="n"/>
    </row>
    <row r="21">
      <c r="A21" s="25" t="n"/>
      <c r="B21" s="12" t="n"/>
      <c r="C21" s="12" t="n"/>
      <c r="D21" s="12" t="n"/>
      <c r="E21" s="12" t="n"/>
      <c r="F21" s="12" t="n"/>
      <c r="G21" s="12" t="n"/>
      <c r="H21" s="12" t="n"/>
      <c r="I21" s="17" t="n"/>
    </row>
    <row r="22">
      <c r="A22" s="25" t="n"/>
      <c r="B22" s="12" t="n"/>
      <c r="C22" s="12" t="n"/>
      <c r="D22" s="12" t="n"/>
      <c r="E22" s="12" t="n"/>
      <c r="F22" s="12" t="n"/>
      <c r="G22" s="12" t="n"/>
      <c r="H22" s="12" t="n"/>
      <c r="I22" s="17" t="n"/>
    </row>
    <row r="23">
      <c r="A23" s="25" t="n"/>
      <c r="B23" s="12" t="n"/>
      <c r="C23" s="12" t="n"/>
      <c r="D23" s="12" t="n"/>
      <c r="E23" s="12" t="n"/>
      <c r="F23" s="12" t="n"/>
      <c r="G23" s="12" t="n"/>
      <c r="H23" s="12" t="n"/>
      <c r="I23" s="17" t="n"/>
    </row>
    <row r="24">
      <c r="A24" s="25" t="n"/>
      <c r="B24" s="12" t="n"/>
      <c r="C24" s="12" t="n"/>
      <c r="D24" s="12" t="n"/>
      <c r="E24" s="12" t="n"/>
      <c r="F24" s="12" t="n"/>
      <c r="G24" s="12" t="n"/>
      <c r="H24" s="12" t="n"/>
      <c r="I24" s="17" t="n"/>
    </row>
    <row r="25">
      <c r="A25" s="25" t="n"/>
      <c r="B25" s="12" t="n"/>
      <c r="C25" s="12" t="n"/>
      <c r="D25" s="12" t="n"/>
      <c r="E25" s="12" t="n"/>
      <c r="F25" s="12" t="n"/>
      <c r="G25" s="12" t="n"/>
      <c r="H25" s="12" t="n"/>
      <c r="I25" s="17" t="n"/>
    </row>
    <row r="26">
      <c r="A26" s="25" t="n"/>
      <c r="B26" s="12" t="n"/>
      <c r="C26" s="12" t="n"/>
      <c r="D26" s="12" t="n"/>
      <c r="E26" s="12" t="n"/>
      <c r="F26" s="12" t="n"/>
      <c r="G26" s="12" t="n"/>
      <c r="H26" s="12" t="n"/>
      <c r="I26" s="17" t="n"/>
    </row>
    <row r="27">
      <c r="A27" s="25" t="n"/>
      <c r="B27" s="12" t="n"/>
      <c r="C27" s="12" t="n"/>
      <c r="D27" s="12" t="n"/>
      <c r="E27" s="12" t="n"/>
      <c r="F27" s="12" t="n"/>
      <c r="G27" s="12" t="n"/>
      <c r="H27" s="12" t="n"/>
      <c r="I27" s="17" t="n"/>
    </row>
    <row r="28">
      <c r="A28" s="25" t="n"/>
      <c r="B28" s="12" t="n"/>
      <c r="C28" s="12" t="n"/>
      <c r="D28" s="12" t="n"/>
      <c r="E28" s="12" t="n"/>
      <c r="F28" s="12" t="n"/>
      <c r="G28" s="12" t="n"/>
      <c r="H28" s="12" t="n"/>
      <c r="I28" s="17" t="n"/>
    </row>
    <row r="29">
      <c r="A29" s="25" t="n"/>
      <c r="B29" s="12" t="n"/>
      <c r="C29" s="12" t="n"/>
      <c r="D29" s="12" t="n"/>
      <c r="E29" s="12" t="n"/>
      <c r="F29" s="12" t="n"/>
      <c r="G29" s="12" t="n"/>
      <c r="H29" s="12" t="n"/>
      <c r="I29" s="17" t="n"/>
    </row>
    <row r="30">
      <c r="A30" s="25" t="n"/>
      <c r="B30" s="12" t="n"/>
      <c r="C30" s="12" t="n"/>
      <c r="D30" s="12" t="n"/>
      <c r="E30" s="12" t="n"/>
      <c r="F30" s="12" t="n"/>
      <c r="G30" s="12" t="n"/>
      <c r="H30" s="12" t="n"/>
      <c r="I30" s="17" t="n"/>
    </row>
    <row r="31">
      <c r="A31" s="25" t="n"/>
      <c r="B31" s="12" t="n"/>
      <c r="C31" s="12" t="n"/>
      <c r="D31" s="12" t="n"/>
      <c r="E31" s="12" t="n"/>
      <c r="F31" s="12" t="n"/>
      <c r="G31" s="12" t="n"/>
      <c r="H31" s="12" t="n"/>
      <c r="I31" s="17" t="n"/>
    </row>
    <row r="32">
      <c r="A32" s="25" t="n"/>
      <c r="B32" s="12" t="n"/>
      <c r="C32" s="12" t="n"/>
      <c r="D32" s="12" t="n"/>
      <c r="E32" s="12" t="n"/>
      <c r="F32" s="12" t="n"/>
      <c r="G32" s="12" t="n"/>
      <c r="H32" s="12" t="n"/>
      <c r="I32" s="17" t="n"/>
    </row>
    <row r="33">
      <c r="A33" s="25" t="n"/>
      <c r="B33" s="12" t="n"/>
      <c r="C33" s="12" t="n"/>
      <c r="D33" s="12" t="n"/>
      <c r="E33" s="12" t="n"/>
      <c r="F33" s="12" t="n"/>
      <c r="G33" s="12" t="n"/>
      <c r="H33" s="12" t="n"/>
      <c r="I33" s="17" t="n"/>
    </row>
    <row r="34">
      <c r="A34" s="25" t="n"/>
      <c r="B34" s="12" t="n"/>
      <c r="C34" s="12" t="n"/>
      <c r="D34" s="12" t="n"/>
      <c r="E34" s="12" t="n"/>
      <c r="F34" s="12" t="n"/>
      <c r="G34" s="12" t="n"/>
      <c r="H34" s="12" t="n"/>
      <c r="I34" s="17" t="n"/>
    </row>
    <row r="35">
      <c r="A35" s="25" t="n"/>
      <c r="B35" s="12" t="n"/>
      <c r="C35" s="12" t="n"/>
      <c r="D35" s="12" t="n"/>
      <c r="E35" s="12" t="n"/>
      <c r="F35" s="12" t="n"/>
      <c r="G35" s="12" t="n"/>
      <c r="H35" s="12" t="n"/>
      <c r="I35" s="17" t="n"/>
    </row>
    <row r="36">
      <c r="A36" s="25" t="n"/>
      <c r="B36" s="12" t="n"/>
      <c r="C36" s="12" t="n"/>
      <c r="D36" s="12" t="n"/>
      <c r="E36" s="12" t="n"/>
      <c r="F36" s="12" t="n"/>
      <c r="G36" s="12" t="n"/>
      <c r="H36" s="12" t="n"/>
      <c r="I36" s="17" t="n"/>
    </row>
    <row r="37">
      <c r="A37" s="25" t="n"/>
      <c r="B37" s="12" t="n"/>
      <c r="C37" s="12" t="n"/>
      <c r="D37" s="12" t="n"/>
      <c r="E37" s="12" t="n"/>
      <c r="F37" s="12" t="n"/>
      <c r="G37" s="12" t="n"/>
      <c r="H37" s="12" t="n"/>
      <c r="I37" s="17" t="n"/>
    </row>
    <row r="38">
      <c r="A38" s="25" t="n"/>
      <c r="B38" s="12" t="n"/>
      <c r="C38" s="12" t="n"/>
      <c r="D38" s="12" t="n"/>
      <c r="E38" s="12" t="n"/>
      <c r="F38" s="12" t="n"/>
      <c r="G38" s="12" t="n"/>
      <c r="H38" s="12" t="n"/>
      <c r="I38" s="17" t="n"/>
    </row>
    <row r="39">
      <c r="A39" s="25" t="n"/>
      <c r="B39" s="12" t="n"/>
      <c r="C39" s="12" t="n"/>
      <c r="D39" s="12" t="n"/>
      <c r="E39" s="12" t="n"/>
      <c r="F39" s="12" t="n"/>
      <c r="G39" s="12" t="n"/>
      <c r="H39" s="12" t="n"/>
      <c r="I39" s="17" t="n"/>
    </row>
    <row r="40">
      <c r="A40" s="25" t="n"/>
      <c r="B40" s="12" t="n"/>
      <c r="C40" s="12" t="n"/>
      <c r="D40" s="12" t="n"/>
      <c r="E40" s="12" t="n"/>
      <c r="F40" s="12" t="n"/>
      <c r="G40" s="12" t="n"/>
      <c r="H40" s="12" t="n"/>
      <c r="I40" s="17" t="n"/>
    </row>
    <row r="41">
      <c r="A41" s="25" t="n"/>
      <c r="B41" s="12" t="n"/>
      <c r="C41" s="12" t="n"/>
      <c r="D41" s="12" t="n"/>
      <c r="E41" s="12" t="n"/>
      <c r="F41" s="12" t="n"/>
      <c r="G41" s="12" t="n"/>
      <c r="H41" s="12" t="n"/>
      <c r="I41" s="17" t="n"/>
    </row>
    <row r="42">
      <c r="A42" s="25" t="n"/>
      <c r="B42" s="12" t="n"/>
      <c r="C42" s="12" t="n"/>
      <c r="D42" s="12" t="n"/>
      <c r="E42" s="12" t="n"/>
      <c r="F42" s="12" t="n"/>
      <c r="G42" s="12" t="n"/>
      <c r="H42" s="12" t="n"/>
      <c r="I42" s="17" t="n"/>
    </row>
    <row r="43">
      <c r="A43" s="25" t="n"/>
      <c r="B43" s="12" t="n"/>
      <c r="C43" s="12" t="n"/>
      <c r="D43" s="12" t="n"/>
      <c r="E43" s="12" t="n"/>
      <c r="F43" s="12" t="n"/>
      <c r="G43" s="12" t="n"/>
      <c r="H43" s="12" t="n"/>
      <c r="I43" s="17" t="n"/>
    </row>
    <row r="44">
      <c r="A44" s="25" t="n"/>
      <c r="B44" s="12" t="n"/>
      <c r="C44" s="12" t="n"/>
      <c r="D44" s="12" t="n"/>
      <c r="E44" s="12" t="n"/>
      <c r="F44" s="12" t="n"/>
      <c r="G44" s="12" t="n"/>
      <c r="H44" s="12" t="n"/>
      <c r="I44" s="17" t="n"/>
    </row>
    <row r="45">
      <c r="A45" s="25" t="n"/>
      <c r="B45" s="12" t="n"/>
      <c r="C45" s="12" t="n"/>
      <c r="D45" s="12" t="n"/>
      <c r="E45" s="12" t="n"/>
      <c r="F45" s="12" t="n"/>
      <c r="G45" s="12" t="n"/>
      <c r="H45" s="12" t="n"/>
      <c r="I45" s="17" t="n"/>
    </row>
    <row r="46">
      <c r="A46" s="25" t="n"/>
      <c r="B46" s="12" t="n"/>
      <c r="C46" s="12" t="n"/>
      <c r="D46" s="12" t="n"/>
      <c r="E46" s="12" t="n"/>
      <c r="F46" s="12" t="n"/>
      <c r="G46" s="12" t="n"/>
      <c r="H46" s="12" t="n"/>
      <c r="I46" s="17" t="n"/>
    </row>
    <row r="47">
      <c r="A47" s="25" t="n"/>
      <c r="B47" s="12" t="n"/>
      <c r="C47" s="12" t="n"/>
      <c r="D47" s="12" t="n"/>
      <c r="E47" s="12" t="n"/>
      <c r="F47" s="12" t="n"/>
      <c r="G47" s="12" t="n"/>
      <c r="H47" s="12" t="n"/>
      <c r="I47" s="17" t="n"/>
    </row>
    <row r="48">
      <c r="A48" s="25" t="n"/>
      <c r="B48" s="12" t="n"/>
      <c r="C48" s="12" t="n"/>
      <c r="D48" s="12" t="n"/>
      <c r="E48" s="12" t="n"/>
      <c r="F48" s="12" t="n"/>
      <c r="G48" s="12" t="n"/>
      <c r="H48" s="12" t="n"/>
      <c r="I48" s="17" t="n"/>
    </row>
    <row r="49">
      <c r="A49" s="25" t="n"/>
      <c r="B49" s="12" t="n"/>
      <c r="C49" s="12" t="n"/>
      <c r="D49" s="12" t="n"/>
      <c r="E49" s="12" t="n"/>
      <c r="F49" s="12" t="n"/>
      <c r="G49" s="12" t="n"/>
      <c r="H49" s="12" t="n"/>
      <c r="I49" s="17" t="n"/>
    </row>
    <row r="50">
      <c r="A50" s="25" t="n"/>
      <c r="B50" s="12" t="n"/>
      <c r="C50" s="12" t="n"/>
      <c r="D50" s="12" t="n"/>
      <c r="E50" s="12" t="n"/>
      <c r="F50" s="12" t="n"/>
      <c r="G50" s="12" t="n"/>
      <c r="H50" s="12" t="n"/>
      <c r="I50" s="17" t="n"/>
    </row>
    <row r="51">
      <c r="A51" s="25" t="n"/>
      <c r="B51" s="12" t="n"/>
      <c r="C51" s="12" t="n"/>
      <c r="D51" s="12" t="n"/>
      <c r="E51" s="12" t="n"/>
      <c r="F51" s="12" t="n"/>
      <c r="G51" s="12" t="n"/>
      <c r="H51" s="12" t="n"/>
      <c r="I51" s="17" t="n"/>
    </row>
    <row r="52">
      <c r="A52" s="25" t="n"/>
      <c r="B52" s="12" t="n"/>
      <c r="C52" s="12" t="n"/>
      <c r="D52" s="12" t="n"/>
      <c r="E52" s="12" t="n"/>
      <c r="F52" s="12" t="n"/>
      <c r="G52" s="12" t="n"/>
      <c r="H52" s="12" t="n"/>
      <c r="I52" s="17" t="n"/>
    </row>
    <row r="53">
      <c r="A53" s="25" t="n"/>
      <c r="B53" s="12" t="n"/>
      <c r="C53" s="12" t="n"/>
      <c r="D53" s="12" t="n"/>
      <c r="E53" s="12" t="n"/>
      <c r="F53" s="12" t="n"/>
      <c r="G53" s="12" t="n"/>
      <c r="H53" s="12" t="n"/>
      <c r="I53" s="17" t="n"/>
    </row>
    <row r="54">
      <c r="A54" s="25" t="n"/>
      <c r="B54" s="12" t="n"/>
      <c r="C54" s="12" t="n"/>
      <c r="D54" s="12" t="n"/>
      <c r="E54" s="12" t="n"/>
      <c r="F54" s="12" t="n"/>
      <c r="G54" s="12" t="n"/>
      <c r="H54" s="12" t="n"/>
      <c r="I54" s="17" t="n"/>
    </row>
    <row r="55">
      <c r="A55" s="25" t="n"/>
      <c r="B55" s="12" t="n"/>
      <c r="C55" s="12" t="n"/>
      <c r="D55" s="12" t="n"/>
      <c r="E55" s="12" t="n"/>
      <c r="F55" s="12" t="n"/>
      <c r="G55" s="12" t="n"/>
      <c r="H55" s="12" t="n"/>
      <c r="I55" s="17" t="n"/>
    </row>
    <row r="56">
      <c r="A56" s="25" t="n"/>
      <c r="B56" s="12" t="n"/>
      <c r="C56" s="12" t="n"/>
      <c r="D56" s="12" t="n"/>
      <c r="E56" s="12" t="n"/>
      <c r="F56" s="12" t="n"/>
      <c r="G56" s="12" t="n"/>
      <c r="H56" s="12" t="n"/>
      <c r="I56" s="17" t="n"/>
    </row>
    <row r="57">
      <c r="A57" s="25" t="n"/>
      <c r="B57" s="12" t="n"/>
      <c r="C57" s="12" t="n"/>
      <c r="D57" s="12" t="n"/>
      <c r="E57" s="12" t="n"/>
      <c r="F57" s="12" t="n"/>
      <c r="G57" s="12" t="n"/>
      <c r="H57" s="12" t="n"/>
      <c r="I57" s="17" t="n"/>
    </row>
    <row r="58">
      <c r="A58" s="25" t="n"/>
      <c r="B58" s="12" t="n"/>
      <c r="C58" s="12" t="n"/>
      <c r="D58" s="12" t="n"/>
      <c r="E58" s="12" t="n"/>
      <c r="F58" s="12" t="n"/>
      <c r="G58" s="12" t="n"/>
      <c r="H58" s="12" t="n"/>
      <c r="I58" s="17" t="n"/>
    </row>
    <row r="59">
      <c r="A59" s="25" t="n"/>
      <c r="B59" s="12" t="n"/>
      <c r="C59" s="12" t="n"/>
      <c r="D59" s="12" t="n"/>
      <c r="E59" s="12" t="n"/>
      <c r="F59" s="12" t="n"/>
      <c r="G59" s="12" t="n"/>
      <c r="H59" s="12" t="n"/>
      <c r="I59" s="17" t="n"/>
    </row>
    <row r="60">
      <c r="A60" s="25" t="n"/>
      <c r="B60" s="12" t="n"/>
      <c r="C60" s="12" t="n"/>
      <c r="D60" s="12" t="n"/>
      <c r="E60" s="12" t="n"/>
      <c r="F60" s="12" t="n"/>
      <c r="G60" s="12" t="n"/>
      <c r="H60" s="12" t="n"/>
      <c r="I60" s="17" t="n"/>
    </row>
    <row r="61">
      <c r="A61" s="25" t="n"/>
      <c r="B61" s="12" t="n"/>
      <c r="C61" s="12" t="n"/>
      <c r="D61" s="12" t="n"/>
      <c r="E61" s="12" t="n"/>
      <c r="F61" s="12" t="n"/>
      <c r="G61" s="12" t="n"/>
      <c r="H61" s="12" t="n"/>
      <c r="I61" s="17" t="n"/>
    </row>
    <row r="62">
      <c r="A62" s="25" t="n"/>
      <c r="B62" s="12" t="n"/>
      <c r="C62" s="12" t="n"/>
      <c r="D62" s="12" t="n"/>
      <c r="E62" s="12" t="n"/>
      <c r="F62" s="12" t="n"/>
      <c r="G62" s="12" t="n"/>
      <c r="H62" s="12" t="n"/>
      <c r="I62" s="17" t="n"/>
    </row>
    <row r="63">
      <c r="A63" s="25" t="n"/>
      <c r="B63" s="12" t="n"/>
      <c r="C63" s="12" t="n"/>
      <c r="D63" s="12" t="n"/>
      <c r="E63" s="12" t="n"/>
      <c r="F63" s="12" t="n"/>
      <c r="G63" s="12" t="n"/>
      <c r="H63" s="12" t="n"/>
      <c r="I63" s="17" t="n"/>
    </row>
    <row r="64">
      <c r="A64" s="25" t="n"/>
      <c r="B64" s="12" t="n"/>
      <c r="C64" s="12" t="n"/>
      <c r="D64" s="12" t="n"/>
      <c r="E64" s="12" t="n"/>
      <c r="F64" s="12" t="n"/>
      <c r="G64" s="12" t="n"/>
      <c r="H64" s="12" t="n"/>
      <c r="I64" s="17" t="n"/>
    </row>
    <row r="65">
      <c r="A65" s="25" t="n"/>
      <c r="B65" s="12" t="n"/>
      <c r="C65" s="12" t="n"/>
      <c r="D65" s="12" t="n"/>
      <c r="E65" s="12" t="n"/>
      <c r="F65" s="12" t="n"/>
      <c r="G65" s="12" t="n"/>
      <c r="H65" s="12" t="n"/>
      <c r="I65" s="17" t="n"/>
    </row>
    <row r="66">
      <c r="A66" s="25" t="n"/>
      <c r="B66" s="12" t="n"/>
      <c r="C66" s="12" t="n"/>
      <c r="D66" s="12" t="n"/>
      <c r="E66" s="12" t="n"/>
      <c r="F66" s="12" t="n"/>
      <c r="G66" s="12" t="n"/>
      <c r="H66" s="12" t="n"/>
      <c r="I66" s="17" t="n"/>
    </row>
    <row r="67">
      <c r="A67" s="25" t="n"/>
      <c r="B67" s="12" t="n"/>
      <c r="C67" s="12" t="n"/>
      <c r="D67" s="12" t="n"/>
      <c r="E67" s="12" t="n"/>
      <c r="F67" s="12" t="n"/>
      <c r="G67" s="12" t="n"/>
      <c r="H67" s="12" t="n"/>
      <c r="I67" s="17" t="n"/>
    </row>
    <row r="68">
      <c r="A68" s="25" t="n"/>
      <c r="B68" s="12" t="n"/>
      <c r="C68" s="12" t="n"/>
      <c r="D68" s="12" t="n"/>
      <c r="E68" s="12" t="n"/>
      <c r="F68" s="12" t="n"/>
      <c r="G68" s="12" t="n"/>
      <c r="H68" s="12" t="n"/>
      <c r="I68" s="17" t="n"/>
    </row>
    <row r="69">
      <c r="A69" s="25" t="n"/>
      <c r="B69" s="12" t="n"/>
      <c r="C69" s="12" t="n"/>
      <c r="D69" s="12" t="n"/>
      <c r="E69" s="12" t="n"/>
      <c r="F69" s="12" t="n"/>
      <c r="G69" s="12" t="n"/>
      <c r="H69" s="12" t="n"/>
      <c r="I69" s="17" t="n"/>
    </row>
    <row r="70">
      <c r="A70" s="25" t="n"/>
      <c r="B70" s="12" t="n"/>
      <c r="C70" s="12" t="n"/>
      <c r="D70" s="12" t="n"/>
      <c r="E70" s="12" t="n"/>
      <c r="F70" s="12" t="n"/>
      <c r="G70" s="12" t="n"/>
      <c r="H70" s="12" t="n"/>
      <c r="I70" s="17" t="n"/>
    </row>
    <row r="71">
      <c r="A71" s="25" t="n"/>
      <c r="B71" s="12" t="n"/>
      <c r="C71" s="12" t="n"/>
      <c r="D71" s="12" t="n"/>
      <c r="E71" s="12" t="n"/>
      <c r="F71" s="12" t="n"/>
      <c r="G71" s="12" t="n"/>
      <c r="H71" s="12" t="n"/>
      <c r="I71" s="17" t="n"/>
    </row>
    <row r="72">
      <c r="A72" s="25" t="n"/>
      <c r="B72" s="12" t="n"/>
      <c r="C72" s="12" t="n"/>
      <c r="D72" s="12" t="n"/>
      <c r="E72" s="12" t="n"/>
      <c r="F72" s="12" t="n"/>
      <c r="G72" s="12" t="n"/>
      <c r="H72" s="12" t="n"/>
      <c r="I72" s="17" t="n"/>
    </row>
    <row r="73">
      <c r="A73" s="25" t="n"/>
      <c r="B73" s="12" t="n"/>
      <c r="C73" s="12" t="n"/>
      <c r="D73" s="12" t="n"/>
      <c r="E73" s="12" t="n"/>
      <c r="F73" s="12" t="n"/>
      <c r="G73" s="12" t="n"/>
      <c r="H73" s="12" t="n"/>
      <c r="I73" s="17" t="n"/>
    </row>
    <row r="74">
      <c r="A74" s="25" t="n"/>
      <c r="B74" s="12" t="n"/>
      <c r="C74" s="12" t="n"/>
      <c r="D74" s="12" t="n"/>
      <c r="E74" s="12" t="n"/>
      <c r="F74" s="12" t="n"/>
      <c r="G74" s="12" t="n"/>
      <c r="H74" s="12" t="n"/>
      <c r="I74" s="17" t="n"/>
    </row>
    <row r="75">
      <c r="A75" s="25" t="n"/>
      <c r="B75" s="12" t="n"/>
      <c r="C75" s="12" t="n"/>
      <c r="D75" s="12" t="n"/>
      <c r="E75" s="12" t="n"/>
      <c r="F75" s="12" t="n"/>
      <c r="G75" s="12" t="n"/>
      <c r="H75" s="12" t="n"/>
      <c r="I75" s="17" t="n"/>
    </row>
    <row r="76">
      <c r="A76" s="25" t="n"/>
      <c r="B76" s="12" t="n"/>
      <c r="C76" s="12" t="n"/>
      <c r="D76" s="12" t="n"/>
      <c r="E76" s="12" t="n"/>
      <c r="F76" s="12" t="n"/>
      <c r="G76" s="12" t="n"/>
      <c r="H76" s="12" t="n"/>
      <c r="I76" s="17" t="n"/>
    </row>
    <row r="77">
      <c r="A77" s="25" t="n"/>
      <c r="B77" s="12" t="n"/>
      <c r="C77" s="12" t="n"/>
      <c r="D77" s="12" t="n"/>
      <c r="E77" s="12" t="n"/>
      <c r="F77" s="12" t="n"/>
      <c r="G77" s="12" t="n"/>
      <c r="H77" s="12" t="n"/>
      <c r="I77" s="17" t="n"/>
    </row>
    <row r="78">
      <c r="A78" s="25" t="n"/>
      <c r="B78" s="12" t="n"/>
      <c r="C78" s="12" t="n"/>
      <c r="D78" s="12" t="n"/>
      <c r="E78" s="12" t="n"/>
      <c r="F78" s="12" t="n"/>
      <c r="G78" s="12" t="n"/>
      <c r="H78" s="12" t="n"/>
      <c r="I78" s="17" t="n"/>
    </row>
    <row r="79">
      <c r="A79" s="25" t="n"/>
      <c r="B79" s="12" t="n"/>
      <c r="C79" s="12" t="n"/>
      <c r="D79" s="12" t="n"/>
      <c r="E79" s="12" t="n"/>
      <c r="F79" s="12" t="n"/>
      <c r="G79" s="12" t="n"/>
      <c r="H79" s="12" t="n"/>
      <c r="I79" s="17" t="n"/>
    </row>
    <row r="80">
      <c r="A80" s="25" t="n"/>
      <c r="B80" s="12" t="n"/>
      <c r="C80" s="12" t="n"/>
      <c r="D80" s="12" t="n"/>
      <c r="E80" s="12" t="n"/>
      <c r="F80" s="12" t="n"/>
      <c r="G80" s="12" t="n"/>
      <c r="H80" s="12" t="n"/>
      <c r="I80" s="17" t="n"/>
    </row>
    <row r="81">
      <c r="A81" s="25" t="n"/>
      <c r="B81" s="12" t="n"/>
      <c r="C81" s="12" t="n"/>
      <c r="D81" s="12" t="n"/>
      <c r="E81" s="12" t="n"/>
      <c r="F81" s="12" t="n"/>
      <c r="G81" s="12" t="n"/>
      <c r="H81" s="12" t="n"/>
      <c r="I81" s="17" t="n"/>
    </row>
    <row r="82">
      <c r="A82" s="25" t="n"/>
      <c r="B82" s="12" t="n"/>
      <c r="C82" s="12" t="n"/>
      <c r="D82" s="12" t="n"/>
      <c r="E82" s="12" t="n"/>
      <c r="F82" s="12" t="n"/>
      <c r="G82" s="12" t="n"/>
      <c r="H82" s="12" t="n"/>
      <c r="I82" s="17" t="n"/>
    </row>
    <row r="83">
      <c r="A83" s="25" t="n"/>
      <c r="B83" s="12" t="n"/>
      <c r="C83" s="12" t="n"/>
      <c r="D83" s="12" t="n"/>
      <c r="E83" s="12" t="n"/>
      <c r="F83" s="12" t="n"/>
      <c r="G83" s="12" t="n"/>
      <c r="H83" s="12" t="n"/>
      <c r="I83" s="17" t="n"/>
    </row>
    <row r="84">
      <c r="A84" s="25" t="n"/>
      <c r="B84" s="12" t="n"/>
      <c r="C84" s="12" t="n"/>
      <c r="D84" s="12" t="n"/>
      <c r="E84" s="12" t="n"/>
      <c r="F84" s="12" t="n"/>
      <c r="G84" s="12" t="n"/>
      <c r="H84" s="12" t="n"/>
      <c r="I84" s="17" t="n"/>
    </row>
    <row r="85">
      <c r="A85" s="25" t="n"/>
      <c r="B85" s="12" t="n"/>
      <c r="C85" s="12" t="n"/>
      <c r="D85" s="12" t="n"/>
      <c r="E85" s="12" t="n"/>
      <c r="F85" s="12" t="n"/>
      <c r="G85" s="12" t="n"/>
      <c r="H85" s="12" t="n"/>
      <c r="I85" s="17" t="n"/>
    </row>
    <row r="86">
      <c r="A86" s="25" t="n"/>
      <c r="B86" s="12" t="n"/>
      <c r="C86" s="12" t="n"/>
      <c r="D86" s="12" t="n"/>
      <c r="E86" s="12" t="n"/>
      <c r="F86" s="12" t="n"/>
      <c r="G86" s="12" t="n"/>
      <c r="H86" s="12" t="n"/>
      <c r="I86" s="17" t="n"/>
    </row>
    <row r="87">
      <c r="A87" s="25" t="n"/>
      <c r="B87" s="12" t="n"/>
      <c r="C87" s="12" t="n"/>
      <c r="D87" s="12" t="n"/>
      <c r="E87" s="12" t="n"/>
      <c r="F87" s="12" t="n"/>
      <c r="G87" s="12" t="n"/>
      <c r="H87" s="12" t="n"/>
      <c r="I87" s="17" t="n"/>
    </row>
    <row r="88">
      <c r="A88" s="25" t="n"/>
      <c r="B88" s="12" t="n"/>
      <c r="C88" s="12" t="n"/>
      <c r="D88" s="12" t="n"/>
      <c r="E88" s="12" t="n"/>
      <c r="F88" s="12" t="n"/>
      <c r="G88" s="12" t="n"/>
      <c r="H88" s="12" t="n"/>
      <c r="I88" s="17" t="n"/>
    </row>
    <row r="89">
      <c r="A89" s="25" t="n"/>
      <c r="B89" s="12" t="n"/>
      <c r="C89" s="12" t="n"/>
      <c r="D89" s="12" t="n"/>
      <c r="E89" s="12" t="n"/>
      <c r="F89" s="12" t="n"/>
      <c r="G89" s="12" t="n"/>
      <c r="H89" s="12" t="n"/>
      <c r="I89" s="17" t="n"/>
    </row>
    <row r="90">
      <c r="A90" s="25" t="n"/>
      <c r="B90" s="12" t="n"/>
      <c r="C90" s="12" t="n"/>
      <c r="D90" s="12" t="n"/>
      <c r="E90" s="12" t="n"/>
      <c r="F90" s="12" t="n"/>
      <c r="G90" s="12" t="n"/>
      <c r="H90" s="12" t="n"/>
      <c r="I90" s="17" t="n"/>
    </row>
    <row r="91">
      <c r="A91" s="25" t="n"/>
      <c r="B91" s="12" t="n"/>
      <c r="C91" s="12" t="n"/>
      <c r="D91" s="12" t="n"/>
      <c r="E91" s="12" t="n"/>
      <c r="F91" s="12" t="n"/>
      <c r="G91" s="12" t="n"/>
      <c r="H91" s="12" t="n"/>
      <c r="I91" s="17" t="n"/>
    </row>
    <row r="92">
      <c r="A92" s="25" t="n"/>
      <c r="B92" s="12" t="n"/>
      <c r="C92" s="12" t="n"/>
      <c r="D92" s="12" t="n"/>
      <c r="E92" s="12" t="n"/>
      <c r="F92" s="12" t="n"/>
      <c r="G92" s="12" t="n"/>
      <c r="H92" s="12" t="n"/>
      <c r="I92" s="17" t="n"/>
    </row>
    <row r="93">
      <c r="A93" s="25" t="n"/>
      <c r="B93" s="12" t="n"/>
      <c r="C93" s="12" t="n"/>
      <c r="D93" s="12" t="n"/>
      <c r="E93" s="12" t="n"/>
      <c r="F93" s="12" t="n"/>
      <c r="G93" s="12" t="n"/>
      <c r="H93" s="12" t="n"/>
      <c r="I93" s="17" t="n"/>
    </row>
    <row r="94">
      <c r="A94" s="25" t="n"/>
      <c r="B94" s="12" t="n"/>
      <c r="C94" s="12" t="n"/>
      <c r="D94" s="12" t="n"/>
      <c r="E94" s="12" t="n"/>
      <c r="F94" s="12" t="n"/>
      <c r="G94" s="12" t="n"/>
      <c r="H94" s="12" t="n"/>
      <c r="I94" s="17" t="n"/>
    </row>
    <row r="95">
      <c r="A95" s="25" t="n"/>
      <c r="B95" s="12" t="n"/>
      <c r="C95" s="12" t="n"/>
      <c r="D95" s="12" t="n"/>
      <c r="E95" s="12" t="n"/>
      <c r="F95" s="12" t="n"/>
      <c r="G95" s="12" t="n"/>
      <c r="H95" s="12" t="n"/>
      <c r="I95" s="17" t="n"/>
    </row>
    <row r="96">
      <c r="A96" s="25" t="n"/>
      <c r="B96" s="12" t="n"/>
      <c r="C96" s="12" t="n"/>
      <c r="D96" s="12" t="n"/>
      <c r="E96" s="12" t="n"/>
      <c r="F96" s="12" t="n"/>
      <c r="G96" s="12" t="n"/>
      <c r="H96" s="12" t="n"/>
      <c r="I96" s="17" t="n"/>
    </row>
    <row r="97">
      <c r="A97" s="25" t="n"/>
      <c r="B97" s="12" t="n"/>
      <c r="C97" s="12" t="n"/>
      <c r="D97" s="12" t="n"/>
      <c r="E97" s="12" t="n"/>
      <c r="F97" s="12" t="n"/>
      <c r="G97" s="12" t="n"/>
      <c r="H97" s="12" t="n"/>
      <c r="I97" s="17" t="n"/>
    </row>
    <row r="98">
      <c r="A98" s="25" t="n"/>
      <c r="B98" s="12" t="n"/>
      <c r="C98" s="12" t="n"/>
      <c r="D98" s="12" t="n"/>
      <c r="E98" s="12" t="n"/>
      <c r="F98" s="12" t="n"/>
      <c r="G98" s="12" t="n"/>
      <c r="H98" s="12" t="n"/>
      <c r="I98" s="17" t="n"/>
    </row>
    <row r="99">
      <c r="A99" s="25" t="n"/>
      <c r="B99" s="12" t="n"/>
      <c r="C99" s="12" t="n"/>
      <c r="D99" s="12" t="n"/>
      <c r="E99" s="12" t="n"/>
      <c r="F99" s="12" t="n"/>
      <c r="G99" s="12" t="n"/>
      <c r="H99" s="12" t="n"/>
      <c r="I99" s="17" t="n"/>
    </row>
    <row r="100">
      <c r="A100" s="25" t="n"/>
      <c r="B100" s="12" t="n"/>
      <c r="C100" s="12" t="n"/>
      <c r="D100" s="12" t="n"/>
      <c r="E100" s="12" t="n"/>
      <c r="F100" s="12" t="n"/>
      <c r="G100" s="12" t="n"/>
      <c r="H100" s="12" t="n"/>
      <c r="I100" s="17" t="n"/>
    </row>
    <row r="101">
      <c r="A101" s="26" t="n"/>
      <c r="B101" s="19" t="n"/>
      <c r="C101" s="19" t="n"/>
      <c r="D101" s="19" t="n"/>
      <c r="E101" s="19" t="n"/>
      <c r="F101" s="19" t="n"/>
      <c r="G101" s="19" t="n"/>
      <c r="H101" s="19" t="n"/>
      <c r="I101" s="22" t="n"/>
    </row>
  </sheetData>
  <mergeCells count="1">
    <mergeCell ref="A1:I1"/>
  </mergeCells>
  <dataValidations count="2">
    <dataValidation sqref="B3:B101" showDropDown="0" showInputMessage="0" showErrorMessage="0" allowBlank="0" type="list">
      <formula1>"Unit 1 / Phase 1,Phase 2,Phase 3,Final"</formula1>
    </dataValidation>
    <dataValidation sqref="C3:C101" showDropDown="0" showInputMessage="0" showErrorMessage="0" allowBlank="0" type="list">
      <formula1>"Meeting,Telephone Call,Online Meeting,Email,Site Visit,Other"</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01"/>
  <sheetViews>
    <sheetView workbookViewId="0">
      <selection activeCell="A7" sqref="A7"/>
    </sheetView>
  </sheetViews>
  <sheetFormatPr baseColWidth="8" defaultRowHeight="14.25"/>
  <cols>
    <col width="15" customWidth="1" min="1" max="1"/>
    <col width="19" customWidth="1" min="2" max="2"/>
    <col width="34" customWidth="1" min="3" max="4"/>
    <col width="38" customWidth="1" min="5" max="5"/>
    <col width="24" customWidth="1" min="6" max="6"/>
    <col width="14" customWidth="1" min="7" max="8"/>
  </cols>
  <sheetData>
    <row r="1" ht="30" customHeight="1">
      <c r="A1" s="38" t="inlineStr">
        <is>
          <t>Challenges and Corrective Actions</t>
        </is>
      </c>
    </row>
    <row r="2" ht="15" customHeight="1">
      <c r="A2" s="35" t="inlineStr">
        <is>
          <t>Date Identified</t>
        </is>
      </c>
      <c r="B2" s="15" t="inlineStr">
        <is>
          <t>Reporting Phase</t>
        </is>
      </c>
      <c r="C2" s="15" t="inlineStr">
        <is>
          <t>Challenge</t>
        </is>
      </c>
      <c r="D2" s="15" t="inlineStr">
        <is>
          <t>Effect on Progress</t>
        </is>
      </c>
      <c r="E2" s="15" t="inlineStr">
        <is>
          <t>Corrective Action</t>
        </is>
      </c>
      <c r="F2" s="15" t="inlineStr">
        <is>
          <t>Responsible Student</t>
        </is>
      </c>
      <c r="G2" s="15" t="inlineStr">
        <is>
          <t>Target Date</t>
        </is>
      </c>
      <c r="H2" s="36" t="inlineStr">
        <is>
          <t>Status</t>
        </is>
      </c>
    </row>
    <row r="3" ht="57" customHeight="1">
      <c r="A3" s="25" t="n">
        <v>46253</v>
      </c>
      <c r="B3" s="12" t="inlineStr">
        <is>
          <t>Unit 1 / Phase 1</t>
        </is>
      </c>
      <c r="C3" s="12" t="inlineStr">
        <is>
          <t>Coordinating stakeholder communication and arranging the formal interview required additional coordination.</t>
        </is>
      </c>
      <c r="D3" s="12" t="inlineStr">
        <is>
          <t>Requirements validation depended on obtaining stakeholder feedback before the SRS could be finalised.</t>
        </is>
      </c>
      <c r="E3" s="12" t="inlineStr">
        <is>
          <t>The group coordinated communication with the stakeholder and conducted the formal interview to obtain the required information.</t>
        </is>
      </c>
      <c r="F3" s="12" t="inlineStr">
        <is>
          <t>DT Adegbola</t>
        </is>
      </c>
      <c r="G3" s="13" t="n">
        <v>46259</v>
      </c>
      <c r="H3" s="17" t="inlineStr">
        <is>
          <t>Resolved</t>
        </is>
      </c>
    </row>
    <row r="4" ht="57" customHeight="1">
      <c r="A4" s="25" t="n">
        <v>46258</v>
      </c>
      <c r="B4" s="12" t="inlineStr">
        <is>
          <t>Unit 1 / Phase 1</t>
        </is>
      </c>
      <c r="C4" s="12" t="inlineStr">
        <is>
          <t>A large portion of the project documentation had to be completed and maintained by one person</t>
        </is>
      </c>
      <c r="D4" s="12" t="inlineStr">
        <is>
          <t>Increased the workload and time required to keep SRS and project documentation updated while other project activities were being completed.</t>
        </is>
      </c>
      <c r="E4" s="12" t="inlineStr">
        <is>
          <t>Documentation was prioritized and was organised alongside  the completion of the project activities to keep the project records up to date.</t>
        </is>
      </c>
      <c r="F4" s="12" t="inlineStr">
        <is>
          <t>Mamello lepitla</t>
        </is>
      </c>
      <c r="G4" s="13" t="n">
        <v>46265</v>
      </c>
      <c r="H4" s="17" t="inlineStr">
        <is>
          <t>Resolved</t>
        </is>
      </c>
    </row>
    <row r="5" ht="57" customHeight="1">
      <c r="A5" s="25" t="n">
        <v>46265</v>
      </c>
      <c r="B5" s="12" t="inlineStr">
        <is>
          <t>Unit 1 / Phase 1</t>
        </is>
      </c>
      <c r="C5" s="12" t="inlineStr">
        <is>
          <t>Uneven participation among group members affected the distribution of project tasks.</t>
        </is>
      </c>
      <c r="D5" s="12" t="inlineStr">
        <is>
          <t>Some tasks had to be handled by fewer active members, increasing the workload and requiring additional coordination.</t>
        </is>
      </c>
      <c r="E5" s="12" t="inlineStr">
        <is>
          <t>Actual contributions were documented in the progress tracker, and responsibilities were clarified according to the work being completed.</t>
        </is>
      </c>
      <c r="F5" s="12" t="inlineStr">
        <is>
          <t>All members</t>
        </is>
      </c>
      <c r="G5" s="13" t="n">
        <v>46269</v>
      </c>
      <c r="H5" s="17" t="inlineStr">
        <is>
          <t>Resolved</t>
        </is>
      </c>
    </row>
    <row r="6" ht="28.5" customHeight="1">
      <c r="A6" s="25" t="n">
        <v>46276</v>
      </c>
      <c r="B6" s="12" t="inlineStr">
        <is>
          <t>Unit 3 / Phase 2</t>
        </is>
      </c>
      <c r="C6" s="12" t="inlineStr">
        <is>
          <t>The Interface Design was left unfinished.</t>
        </is>
      </c>
      <c r="D6" s="12" t="inlineStr">
        <is>
          <t>Some  Students had to leave they work and fix the design</t>
        </is>
      </c>
      <c r="E6" s="12" t="inlineStr">
        <is>
          <t>A new interface design was done by some members</t>
        </is>
      </c>
      <c r="F6" s="12" t="inlineStr">
        <is>
          <t>Mamello lepitla, Paballo Lebusa</t>
        </is>
      </c>
      <c r="G6" s="13" t="n"/>
      <c r="H6" s="17" t="n"/>
    </row>
    <row r="7">
      <c r="A7" s="25" t="n"/>
      <c r="B7" s="12" t="n"/>
      <c r="C7" s="12" t="n"/>
      <c r="D7" s="12" t="n"/>
      <c r="E7" s="12" t="n"/>
      <c r="F7" s="12" t="n"/>
      <c r="G7" s="13" t="n"/>
      <c r="H7" s="17" t="n"/>
    </row>
    <row r="8">
      <c r="A8" s="25" t="n"/>
      <c r="B8" s="12" t="n"/>
      <c r="C8" s="12" t="n"/>
      <c r="D8" s="12" t="n"/>
      <c r="E8" s="12" t="n"/>
      <c r="F8" s="12" t="n"/>
      <c r="G8" s="13" t="n"/>
      <c r="H8" s="17" t="n"/>
    </row>
    <row r="9">
      <c r="A9" s="25" t="n"/>
      <c r="B9" s="12" t="n"/>
      <c r="C9" s="12" t="n"/>
      <c r="D9" s="12" t="n"/>
      <c r="E9" s="12" t="n"/>
      <c r="F9" s="12" t="n"/>
      <c r="G9" s="13" t="n"/>
      <c r="H9" s="17" t="n"/>
    </row>
    <row r="10">
      <c r="A10" s="25" t="n"/>
      <c r="B10" s="12" t="n"/>
      <c r="C10" s="12" t="n"/>
      <c r="D10" s="12" t="n"/>
      <c r="E10" s="12" t="n"/>
      <c r="F10" s="12" t="n"/>
      <c r="G10" s="13" t="n"/>
      <c r="H10" s="17" t="n"/>
    </row>
    <row r="11">
      <c r="A11" s="25" t="n"/>
      <c r="B11" s="12" t="n"/>
      <c r="C11" s="12" t="n"/>
      <c r="D11" s="12" t="n"/>
      <c r="E11" s="12" t="n"/>
      <c r="F11" s="12" t="n"/>
      <c r="G11" s="13" t="n"/>
      <c r="H11" s="17" t="n"/>
    </row>
    <row r="12">
      <c r="A12" s="25" t="n"/>
      <c r="B12" s="12" t="n"/>
      <c r="C12" s="12" t="n"/>
      <c r="D12" s="12" t="n"/>
      <c r="E12" s="12" t="n"/>
      <c r="F12" s="12" t="n"/>
      <c r="G12" s="13" t="n"/>
      <c r="H12" s="17" t="n"/>
    </row>
    <row r="13">
      <c r="A13" s="25" t="n"/>
      <c r="B13" s="12" t="n"/>
      <c r="C13" s="12" t="n"/>
      <c r="D13" s="12" t="n"/>
      <c r="E13" s="12" t="n"/>
      <c r="F13" s="12" t="n"/>
      <c r="G13" s="13" t="n"/>
      <c r="H13" s="17" t="n"/>
    </row>
    <row r="14">
      <c r="A14" s="25" t="n"/>
      <c r="B14" s="12" t="n"/>
      <c r="C14" s="12" t="n"/>
      <c r="D14" s="12" t="n"/>
      <c r="E14" s="12" t="n"/>
      <c r="F14" s="12" t="n"/>
      <c r="G14" s="13" t="n"/>
      <c r="H14" s="17" t="n"/>
    </row>
    <row r="15">
      <c r="A15" s="25" t="n"/>
      <c r="B15" s="12" t="n"/>
      <c r="C15" s="12" t="n"/>
      <c r="D15" s="12" t="n"/>
      <c r="E15" s="12" t="n"/>
      <c r="F15" s="12" t="n"/>
      <c r="G15" s="13" t="n"/>
      <c r="H15" s="17" t="n"/>
    </row>
    <row r="16">
      <c r="A16" s="25" t="n"/>
      <c r="B16" s="12" t="n"/>
      <c r="C16" s="12" t="n"/>
      <c r="D16" s="12" t="n"/>
      <c r="E16" s="12" t="n"/>
      <c r="F16" s="12" t="n"/>
      <c r="G16" s="13" t="n"/>
      <c r="H16" s="17" t="n"/>
    </row>
    <row r="17">
      <c r="A17" s="25" t="n"/>
      <c r="B17" s="12" t="n"/>
      <c r="C17" s="12" t="n"/>
      <c r="D17" s="12" t="n"/>
      <c r="E17" s="12" t="n"/>
      <c r="F17" s="12" t="n"/>
      <c r="G17" s="13" t="n"/>
      <c r="H17" s="17" t="n"/>
    </row>
    <row r="18">
      <c r="A18" s="25" t="n"/>
      <c r="B18" s="12" t="n"/>
      <c r="C18" s="12" t="n"/>
      <c r="D18" s="12" t="n"/>
      <c r="E18" s="12" t="n"/>
      <c r="F18" s="12" t="n"/>
      <c r="G18" s="13" t="n"/>
      <c r="H18" s="17" t="n"/>
    </row>
    <row r="19">
      <c r="A19" s="25" t="n"/>
      <c r="B19" s="12" t="n"/>
      <c r="C19" s="12" t="n"/>
      <c r="D19" s="12" t="n"/>
      <c r="E19" s="12" t="n"/>
      <c r="F19" s="12" t="n"/>
      <c r="G19" s="13" t="n"/>
      <c r="H19" s="17" t="n"/>
    </row>
    <row r="20">
      <c r="A20" s="25" t="n"/>
      <c r="B20" s="12" t="n"/>
      <c r="C20" s="12" t="n"/>
      <c r="D20" s="12" t="n"/>
      <c r="E20" s="12" t="n"/>
      <c r="F20" s="12" t="n"/>
      <c r="G20" s="13" t="n"/>
      <c r="H20" s="17" t="n"/>
    </row>
    <row r="21">
      <c r="A21" s="25" t="n"/>
      <c r="B21" s="12" t="n"/>
      <c r="C21" s="12" t="n"/>
      <c r="D21" s="12" t="n"/>
      <c r="E21" s="12" t="n"/>
      <c r="F21" s="12" t="n"/>
      <c r="G21" s="13" t="n"/>
      <c r="H21" s="17" t="n"/>
    </row>
    <row r="22">
      <c r="A22" s="25" t="n"/>
      <c r="B22" s="12" t="n"/>
      <c r="C22" s="12" t="n"/>
      <c r="D22" s="12" t="n"/>
      <c r="E22" s="12" t="n"/>
      <c r="F22" s="12" t="n"/>
      <c r="G22" s="13" t="n"/>
      <c r="H22" s="17" t="n"/>
    </row>
    <row r="23">
      <c r="A23" s="25" t="n"/>
      <c r="B23" s="12" t="n"/>
      <c r="C23" s="12" t="n"/>
      <c r="D23" s="12" t="n"/>
      <c r="E23" s="12" t="n"/>
      <c r="F23" s="12" t="n"/>
      <c r="G23" s="13" t="n"/>
      <c r="H23" s="17" t="n"/>
    </row>
    <row r="24">
      <c r="A24" s="25" t="n"/>
      <c r="B24" s="12" t="n"/>
      <c r="C24" s="12" t="n"/>
      <c r="D24" s="12" t="n"/>
      <c r="E24" s="12" t="n"/>
      <c r="F24" s="12" t="n"/>
      <c r="G24" s="13" t="n"/>
      <c r="H24" s="17" t="n"/>
    </row>
    <row r="25">
      <c r="A25" s="25" t="n"/>
      <c r="B25" s="12" t="n"/>
      <c r="C25" s="12" t="n"/>
      <c r="D25" s="12" t="n"/>
      <c r="E25" s="12" t="n"/>
      <c r="F25" s="12" t="n"/>
      <c r="G25" s="13" t="n"/>
      <c r="H25" s="17" t="n"/>
    </row>
    <row r="26">
      <c r="A26" s="25" t="n"/>
      <c r="B26" s="12" t="n"/>
      <c r="C26" s="12" t="n"/>
      <c r="D26" s="12" t="n"/>
      <c r="E26" s="12" t="n"/>
      <c r="F26" s="12" t="n"/>
      <c r="G26" s="13" t="n"/>
      <c r="H26" s="17" t="n"/>
    </row>
    <row r="27">
      <c r="A27" s="25" t="n"/>
      <c r="B27" s="12" t="n"/>
      <c r="C27" s="12" t="n"/>
      <c r="D27" s="12" t="n"/>
      <c r="E27" s="12" t="n"/>
      <c r="F27" s="12" t="n"/>
      <c r="G27" s="13" t="n"/>
      <c r="H27" s="17" t="n"/>
    </row>
    <row r="28">
      <c r="A28" s="25" t="n"/>
      <c r="B28" s="12" t="n"/>
      <c r="C28" s="12" t="n"/>
      <c r="D28" s="12" t="n"/>
      <c r="E28" s="12" t="n"/>
      <c r="F28" s="12" t="n"/>
      <c r="G28" s="13" t="n"/>
      <c r="H28" s="17" t="n"/>
    </row>
    <row r="29">
      <c r="A29" s="25" t="n"/>
      <c r="B29" s="12" t="n"/>
      <c r="C29" s="12" t="n"/>
      <c r="D29" s="12" t="n"/>
      <c r="E29" s="12" t="n"/>
      <c r="F29" s="12" t="n"/>
      <c r="G29" s="13" t="n"/>
      <c r="H29" s="17" t="n"/>
    </row>
    <row r="30">
      <c r="A30" s="25" t="n"/>
      <c r="B30" s="12" t="n"/>
      <c r="C30" s="12" t="n"/>
      <c r="D30" s="12" t="n"/>
      <c r="E30" s="12" t="n"/>
      <c r="F30" s="12" t="n"/>
      <c r="G30" s="13" t="n"/>
      <c r="H30" s="17" t="n"/>
    </row>
    <row r="31">
      <c r="A31" s="25" t="n"/>
      <c r="B31" s="12" t="n"/>
      <c r="C31" s="12" t="n"/>
      <c r="D31" s="12" t="n"/>
      <c r="E31" s="12" t="n"/>
      <c r="F31" s="12" t="n"/>
      <c r="G31" s="13" t="n"/>
      <c r="H31" s="17" t="n"/>
    </row>
    <row r="32">
      <c r="A32" s="25" t="n"/>
      <c r="B32" s="12" t="n"/>
      <c r="C32" s="12" t="n"/>
      <c r="D32" s="12" t="n"/>
      <c r="E32" s="12" t="n"/>
      <c r="F32" s="12" t="n"/>
      <c r="G32" s="13" t="n"/>
      <c r="H32" s="17" t="n"/>
    </row>
    <row r="33">
      <c r="A33" s="25" t="n"/>
      <c r="B33" s="12" t="n"/>
      <c r="C33" s="12" t="n"/>
      <c r="D33" s="12" t="n"/>
      <c r="E33" s="12" t="n"/>
      <c r="F33" s="12" t="n"/>
      <c r="G33" s="13" t="n"/>
      <c r="H33" s="17" t="n"/>
    </row>
    <row r="34">
      <c r="A34" s="25" t="n"/>
      <c r="B34" s="12" t="n"/>
      <c r="C34" s="12" t="n"/>
      <c r="D34" s="12" t="n"/>
      <c r="E34" s="12" t="n"/>
      <c r="F34" s="12" t="n"/>
      <c r="G34" s="13" t="n"/>
      <c r="H34" s="17" t="n"/>
    </row>
    <row r="35">
      <c r="A35" s="25" t="n"/>
      <c r="B35" s="12" t="n"/>
      <c r="C35" s="12" t="n"/>
      <c r="D35" s="12" t="n"/>
      <c r="E35" s="12" t="n"/>
      <c r="F35" s="12" t="n"/>
      <c r="G35" s="13" t="n"/>
      <c r="H35" s="17" t="n"/>
    </row>
    <row r="36">
      <c r="A36" s="25" t="n"/>
      <c r="B36" s="12" t="n"/>
      <c r="C36" s="12" t="n"/>
      <c r="D36" s="12" t="n"/>
      <c r="E36" s="12" t="n"/>
      <c r="F36" s="12" t="n"/>
      <c r="G36" s="13" t="n"/>
      <c r="H36" s="17" t="n"/>
    </row>
    <row r="37">
      <c r="A37" s="25" t="n"/>
      <c r="B37" s="12" t="n"/>
      <c r="C37" s="12" t="n"/>
      <c r="D37" s="12" t="n"/>
      <c r="E37" s="12" t="n"/>
      <c r="F37" s="12" t="n"/>
      <c r="G37" s="13" t="n"/>
      <c r="H37" s="17" t="n"/>
    </row>
    <row r="38">
      <c r="A38" s="25" t="n"/>
      <c r="B38" s="12" t="n"/>
      <c r="C38" s="12" t="n"/>
      <c r="D38" s="12" t="n"/>
      <c r="E38" s="12" t="n"/>
      <c r="F38" s="12" t="n"/>
      <c r="G38" s="13" t="n"/>
      <c r="H38" s="17" t="n"/>
    </row>
    <row r="39">
      <c r="A39" s="25" t="n"/>
      <c r="B39" s="12" t="n"/>
      <c r="C39" s="12" t="n"/>
      <c r="D39" s="12" t="n"/>
      <c r="E39" s="12" t="n"/>
      <c r="F39" s="12" t="n"/>
      <c r="G39" s="13" t="n"/>
      <c r="H39" s="17" t="n"/>
    </row>
    <row r="40">
      <c r="A40" s="25" t="n"/>
      <c r="B40" s="12" t="n"/>
      <c r="C40" s="12" t="n"/>
      <c r="D40" s="12" t="n"/>
      <c r="E40" s="12" t="n"/>
      <c r="F40" s="12" t="n"/>
      <c r="G40" s="13" t="n"/>
      <c r="H40" s="17" t="n"/>
    </row>
    <row r="41">
      <c r="A41" s="25" t="n"/>
      <c r="B41" s="12" t="n"/>
      <c r="C41" s="12" t="n"/>
      <c r="D41" s="12" t="n"/>
      <c r="E41" s="12" t="n"/>
      <c r="F41" s="12" t="n"/>
      <c r="G41" s="13" t="n"/>
      <c r="H41" s="17" t="n"/>
    </row>
    <row r="42">
      <c r="A42" s="25" t="n"/>
      <c r="B42" s="12" t="n"/>
      <c r="C42" s="12" t="n"/>
      <c r="D42" s="12" t="n"/>
      <c r="E42" s="12" t="n"/>
      <c r="F42" s="12" t="n"/>
      <c r="G42" s="13" t="n"/>
      <c r="H42" s="17" t="n"/>
    </row>
    <row r="43">
      <c r="A43" s="25" t="n"/>
      <c r="B43" s="12" t="n"/>
      <c r="C43" s="12" t="n"/>
      <c r="D43" s="12" t="n"/>
      <c r="E43" s="12" t="n"/>
      <c r="F43" s="12" t="n"/>
      <c r="G43" s="13" t="n"/>
      <c r="H43" s="17" t="n"/>
    </row>
    <row r="44">
      <c r="A44" s="25" t="n"/>
      <c r="B44" s="12" t="n"/>
      <c r="C44" s="12" t="n"/>
      <c r="D44" s="12" t="n"/>
      <c r="E44" s="12" t="n"/>
      <c r="F44" s="12" t="n"/>
      <c r="G44" s="13" t="n"/>
      <c r="H44" s="17" t="n"/>
    </row>
    <row r="45">
      <c r="A45" s="25" t="n"/>
      <c r="B45" s="12" t="n"/>
      <c r="C45" s="12" t="n"/>
      <c r="D45" s="12" t="n"/>
      <c r="E45" s="12" t="n"/>
      <c r="F45" s="12" t="n"/>
      <c r="G45" s="13" t="n"/>
      <c r="H45" s="17" t="n"/>
    </row>
    <row r="46">
      <c r="A46" s="25" t="n"/>
      <c r="B46" s="12" t="n"/>
      <c r="C46" s="12" t="n"/>
      <c r="D46" s="12" t="n"/>
      <c r="E46" s="12" t="n"/>
      <c r="F46" s="12" t="n"/>
      <c r="G46" s="13" t="n"/>
      <c r="H46" s="17" t="n"/>
    </row>
    <row r="47">
      <c r="A47" s="25" t="n"/>
      <c r="B47" s="12" t="n"/>
      <c r="C47" s="12" t="n"/>
      <c r="D47" s="12" t="n"/>
      <c r="E47" s="12" t="n"/>
      <c r="F47" s="12" t="n"/>
      <c r="G47" s="13" t="n"/>
      <c r="H47" s="17" t="n"/>
    </row>
    <row r="48">
      <c r="A48" s="25" t="n"/>
      <c r="B48" s="12" t="n"/>
      <c r="C48" s="12" t="n"/>
      <c r="D48" s="12" t="n"/>
      <c r="E48" s="12" t="n"/>
      <c r="F48" s="12" t="n"/>
      <c r="G48" s="13" t="n"/>
      <c r="H48" s="17" t="n"/>
    </row>
    <row r="49">
      <c r="A49" s="25" t="n"/>
      <c r="B49" s="12" t="n"/>
      <c r="C49" s="12" t="n"/>
      <c r="D49" s="12" t="n"/>
      <c r="E49" s="12" t="n"/>
      <c r="F49" s="12" t="n"/>
      <c r="G49" s="13" t="n"/>
      <c r="H49" s="17" t="n"/>
    </row>
    <row r="50">
      <c r="A50" s="25" t="n"/>
      <c r="B50" s="12" t="n"/>
      <c r="C50" s="12" t="n"/>
      <c r="D50" s="12" t="n"/>
      <c r="E50" s="12" t="n"/>
      <c r="F50" s="12" t="n"/>
      <c r="G50" s="13" t="n"/>
      <c r="H50" s="17" t="n"/>
    </row>
    <row r="51">
      <c r="A51" s="25" t="n"/>
      <c r="B51" s="12" t="n"/>
      <c r="C51" s="12" t="n"/>
      <c r="D51" s="12" t="n"/>
      <c r="E51" s="12" t="n"/>
      <c r="F51" s="12" t="n"/>
      <c r="G51" s="13" t="n"/>
      <c r="H51" s="17" t="n"/>
    </row>
    <row r="52">
      <c r="A52" s="25" t="n"/>
      <c r="B52" s="12" t="n"/>
      <c r="C52" s="12" t="n"/>
      <c r="D52" s="12" t="n"/>
      <c r="E52" s="12" t="n"/>
      <c r="F52" s="12" t="n"/>
      <c r="G52" s="13" t="n"/>
      <c r="H52" s="17" t="n"/>
    </row>
    <row r="53">
      <c r="A53" s="25" t="n"/>
      <c r="B53" s="12" t="n"/>
      <c r="C53" s="12" t="n"/>
      <c r="D53" s="12" t="n"/>
      <c r="E53" s="12" t="n"/>
      <c r="F53" s="12" t="n"/>
      <c r="G53" s="13" t="n"/>
      <c r="H53" s="17" t="n"/>
    </row>
    <row r="54">
      <c r="A54" s="25" t="n"/>
      <c r="B54" s="12" t="n"/>
      <c r="C54" s="12" t="n"/>
      <c r="D54" s="12" t="n"/>
      <c r="E54" s="12" t="n"/>
      <c r="F54" s="12" t="n"/>
      <c r="G54" s="13" t="n"/>
      <c r="H54" s="17" t="n"/>
    </row>
    <row r="55">
      <c r="A55" s="25" t="n"/>
      <c r="B55" s="12" t="n"/>
      <c r="C55" s="12" t="n"/>
      <c r="D55" s="12" t="n"/>
      <c r="E55" s="12" t="n"/>
      <c r="F55" s="12" t="n"/>
      <c r="G55" s="13" t="n"/>
      <c r="H55" s="17" t="n"/>
    </row>
    <row r="56">
      <c r="A56" s="25" t="n"/>
      <c r="B56" s="12" t="n"/>
      <c r="C56" s="12" t="n"/>
      <c r="D56" s="12" t="n"/>
      <c r="E56" s="12" t="n"/>
      <c r="F56" s="12" t="n"/>
      <c r="G56" s="13" t="n"/>
      <c r="H56" s="17" t="n"/>
    </row>
    <row r="57">
      <c r="A57" s="25" t="n"/>
      <c r="B57" s="12" t="n"/>
      <c r="C57" s="12" t="n"/>
      <c r="D57" s="12" t="n"/>
      <c r="E57" s="12" t="n"/>
      <c r="F57" s="12" t="n"/>
      <c r="G57" s="13" t="n"/>
      <c r="H57" s="17" t="n"/>
    </row>
    <row r="58">
      <c r="A58" s="25" t="n"/>
      <c r="B58" s="12" t="n"/>
      <c r="C58" s="12" t="n"/>
      <c r="D58" s="12" t="n"/>
      <c r="E58" s="12" t="n"/>
      <c r="F58" s="12" t="n"/>
      <c r="G58" s="13" t="n"/>
      <c r="H58" s="17" t="n"/>
    </row>
    <row r="59">
      <c r="A59" s="25" t="n"/>
      <c r="B59" s="12" t="n"/>
      <c r="C59" s="12" t="n"/>
      <c r="D59" s="12" t="n"/>
      <c r="E59" s="12" t="n"/>
      <c r="F59" s="12" t="n"/>
      <c r="G59" s="13" t="n"/>
      <c r="H59" s="17" t="n"/>
    </row>
    <row r="60">
      <c r="A60" s="25" t="n"/>
      <c r="B60" s="12" t="n"/>
      <c r="C60" s="12" t="n"/>
      <c r="D60" s="12" t="n"/>
      <c r="E60" s="12" t="n"/>
      <c r="F60" s="12" t="n"/>
      <c r="G60" s="13" t="n"/>
      <c r="H60" s="17" t="n"/>
    </row>
    <row r="61">
      <c r="A61" s="25" t="n"/>
      <c r="B61" s="12" t="n"/>
      <c r="C61" s="12" t="n"/>
      <c r="D61" s="12" t="n"/>
      <c r="E61" s="12" t="n"/>
      <c r="F61" s="12" t="n"/>
      <c r="G61" s="13" t="n"/>
      <c r="H61" s="17" t="n"/>
    </row>
    <row r="62">
      <c r="A62" s="25" t="n"/>
      <c r="B62" s="12" t="n"/>
      <c r="C62" s="12" t="n"/>
      <c r="D62" s="12" t="n"/>
      <c r="E62" s="12" t="n"/>
      <c r="F62" s="12" t="n"/>
      <c r="G62" s="13" t="n"/>
      <c r="H62" s="17" t="n"/>
    </row>
    <row r="63">
      <c r="A63" s="25" t="n"/>
      <c r="B63" s="12" t="n"/>
      <c r="C63" s="12" t="n"/>
      <c r="D63" s="12" t="n"/>
      <c r="E63" s="12" t="n"/>
      <c r="F63" s="12" t="n"/>
      <c r="G63" s="13" t="n"/>
      <c r="H63" s="17" t="n"/>
    </row>
    <row r="64">
      <c r="A64" s="25" t="n"/>
      <c r="B64" s="12" t="n"/>
      <c r="C64" s="12" t="n"/>
      <c r="D64" s="12" t="n"/>
      <c r="E64" s="12" t="n"/>
      <c r="F64" s="12" t="n"/>
      <c r="G64" s="13" t="n"/>
      <c r="H64" s="17" t="n"/>
    </row>
    <row r="65">
      <c r="A65" s="25" t="n"/>
      <c r="B65" s="12" t="n"/>
      <c r="C65" s="12" t="n"/>
      <c r="D65" s="12" t="n"/>
      <c r="E65" s="12" t="n"/>
      <c r="F65" s="12" t="n"/>
      <c r="G65" s="13" t="n"/>
      <c r="H65" s="17" t="n"/>
    </row>
    <row r="66">
      <c r="A66" s="25" t="n"/>
      <c r="B66" s="12" t="n"/>
      <c r="C66" s="12" t="n"/>
      <c r="D66" s="12" t="n"/>
      <c r="E66" s="12" t="n"/>
      <c r="F66" s="12" t="n"/>
      <c r="G66" s="13" t="n"/>
      <c r="H66" s="17" t="n"/>
    </row>
    <row r="67">
      <c r="A67" s="25" t="n"/>
      <c r="B67" s="12" t="n"/>
      <c r="C67" s="12" t="n"/>
      <c r="D67" s="12" t="n"/>
      <c r="E67" s="12" t="n"/>
      <c r="F67" s="12" t="n"/>
      <c r="G67" s="13" t="n"/>
      <c r="H67" s="17" t="n"/>
    </row>
    <row r="68">
      <c r="A68" s="25" t="n"/>
      <c r="B68" s="12" t="n"/>
      <c r="C68" s="12" t="n"/>
      <c r="D68" s="12" t="n"/>
      <c r="E68" s="12" t="n"/>
      <c r="F68" s="12" t="n"/>
      <c r="G68" s="13" t="n"/>
      <c r="H68" s="17" t="n"/>
    </row>
    <row r="69">
      <c r="A69" s="25" t="n"/>
      <c r="B69" s="12" t="n"/>
      <c r="C69" s="12" t="n"/>
      <c r="D69" s="12" t="n"/>
      <c r="E69" s="12" t="n"/>
      <c r="F69" s="12" t="n"/>
      <c r="G69" s="13" t="n"/>
      <c r="H69" s="17" t="n"/>
    </row>
    <row r="70">
      <c r="A70" s="25" t="n"/>
      <c r="B70" s="12" t="n"/>
      <c r="C70" s="12" t="n"/>
      <c r="D70" s="12" t="n"/>
      <c r="E70" s="12" t="n"/>
      <c r="F70" s="12" t="n"/>
      <c r="G70" s="13" t="n"/>
      <c r="H70" s="17" t="n"/>
    </row>
    <row r="71">
      <c r="A71" s="25" t="n"/>
      <c r="B71" s="12" t="n"/>
      <c r="C71" s="12" t="n"/>
      <c r="D71" s="12" t="n"/>
      <c r="E71" s="12" t="n"/>
      <c r="F71" s="12" t="n"/>
      <c r="G71" s="13" t="n"/>
      <c r="H71" s="17" t="n"/>
    </row>
    <row r="72">
      <c r="A72" s="25" t="n"/>
      <c r="B72" s="12" t="n"/>
      <c r="C72" s="12" t="n"/>
      <c r="D72" s="12" t="n"/>
      <c r="E72" s="12" t="n"/>
      <c r="F72" s="12" t="n"/>
      <c r="G72" s="13" t="n"/>
      <c r="H72" s="17" t="n"/>
    </row>
    <row r="73">
      <c r="A73" s="25" t="n"/>
      <c r="B73" s="12" t="n"/>
      <c r="C73" s="12" t="n"/>
      <c r="D73" s="12" t="n"/>
      <c r="E73" s="12" t="n"/>
      <c r="F73" s="12" t="n"/>
      <c r="G73" s="13" t="n"/>
      <c r="H73" s="17" t="n"/>
    </row>
    <row r="74">
      <c r="A74" s="25" t="n"/>
      <c r="B74" s="12" t="n"/>
      <c r="C74" s="12" t="n"/>
      <c r="D74" s="12" t="n"/>
      <c r="E74" s="12" t="n"/>
      <c r="F74" s="12" t="n"/>
      <c r="G74" s="13" t="n"/>
      <c r="H74" s="17" t="n"/>
    </row>
    <row r="75">
      <c r="A75" s="25" t="n"/>
      <c r="B75" s="12" t="n"/>
      <c r="C75" s="12" t="n"/>
      <c r="D75" s="12" t="n"/>
      <c r="E75" s="12" t="n"/>
      <c r="F75" s="12" t="n"/>
      <c r="G75" s="13" t="n"/>
      <c r="H75" s="17" t="n"/>
    </row>
    <row r="76">
      <c r="A76" s="25" t="n"/>
      <c r="B76" s="12" t="n"/>
      <c r="C76" s="12" t="n"/>
      <c r="D76" s="12" t="n"/>
      <c r="E76" s="12" t="n"/>
      <c r="F76" s="12" t="n"/>
      <c r="G76" s="13" t="n"/>
      <c r="H76" s="17" t="n"/>
    </row>
    <row r="77">
      <c r="A77" s="25" t="n"/>
      <c r="B77" s="12" t="n"/>
      <c r="C77" s="12" t="n"/>
      <c r="D77" s="12" t="n"/>
      <c r="E77" s="12" t="n"/>
      <c r="F77" s="12" t="n"/>
      <c r="G77" s="13" t="n"/>
      <c r="H77" s="17" t="n"/>
    </row>
    <row r="78">
      <c r="A78" s="25" t="n"/>
      <c r="B78" s="12" t="n"/>
      <c r="C78" s="12" t="n"/>
      <c r="D78" s="12" t="n"/>
      <c r="E78" s="12" t="n"/>
      <c r="F78" s="12" t="n"/>
      <c r="G78" s="13" t="n"/>
      <c r="H78" s="17" t="n"/>
    </row>
    <row r="79">
      <c r="A79" s="25" t="n"/>
      <c r="B79" s="12" t="n"/>
      <c r="C79" s="12" t="n"/>
      <c r="D79" s="12" t="n"/>
      <c r="E79" s="12" t="n"/>
      <c r="F79" s="12" t="n"/>
      <c r="G79" s="13" t="n"/>
      <c r="H79" s="17" t="n"/>
    </row>
    <row r="80">
      <c r="A80" s="25" t="n"/>
      <c r="B80" s="12" t="n"/>
      <c r="C80" s="12" t="n"/>
      <c r="D80" s="12" t="n"/>
      <c r="E80" s="12" t="n"/>
      <c r="F80" s="12" t="n"/>
      <c r="G80" s="13" t="n"/>
      <c r="H80" s="17" t="n"/>
    </row>
    <row r="81">
      <c r="A81" s="25" t="n"/>
      <c r="B81" s="12" t="n"/>
      <c r="C81" s="12" t="n"/>
      <c r="D81" s="12" t="n"/>
      <c r="E81" s="12" t="n"/>
      <c r="F81" s="12" t="n"/>
      <c r="G81" s="13" t="n"/>
      <c r="H81" s="17" t="n"/>
    </row>
    <row r="82">
      <c r="A82" s="25" t="n"/>
      <c r="B82" s="12" t="n"/>
      <c r="C82" s="12" t="n"/>
      <c r="D82" s="12" t="n"/>
      <c r="E82" s="12" t="n"/>
      <c r="F82" s="12" t="n"/>
      <c r="G82" s="13" t="n"/>
      <c r="H82" s="17" t="n"/>
    </row>
    <row r="83">
      <c r="A83" s="25" t="n"/>
      <c r="B83" s="12" t="n"/>
      <c r="C83" s="12" t="n"/>
      <c r="D83" s="12" t="n"/>
      <c r="E83" s="12" t="n"/>
      <c r="F83" s="12" t="n"/>
      <c r="G83" s="13" t="n"/>
      <c r="H83" s="17" t="n"/>
    </row>
    <row r="84">
      <c r="A84" s="25" t="n"/>
      <c r="B84" s="12" t="n"/>
      <c r="C84" s="12" t="n"/>
      <c r="D84" s="12" t="n"/>
      <c r="E84" s="12" t="n"/>
      <c r="F84" s="12" t="n"/>
      <c r="G84" s="13" t="n"/>
      <c r="H84" s="17" t="n"/>
    </row>
    <row r="85">
      <c r="A85" s="25" t="n"/>
      <c r="B85" s="12" t="n"/>
      <c r="C85" s="12" t="n"/>
      <c r="D85" s="12" t="n"/>
      <c r="E85" s="12" t="n"/>
      <c r="F85" s="12" t="n"/>
      <c r="G85" s="13" t="n"/>
      <c r="H85" s="17" t="n"/>
    </row>
    <row r="86">
      <c r="A86" s="25" t="n"/>
      <c r="B86" s="12" t="n"/>
      <c r="C86" s="12" t="n"/>
      <c r="D86" s="12" t="n"/>
      <c r="E86" s="12" t="n"/>
      <c r="F86" s="12" t="n"/>
      <c r="G86" s="13" t="n"/>
      <c r="H86" s="17" t="n"/>
    </row>
    <row r="87">
      <c r="A87" s="25" t="n"/>
      <c r="B87" s="12" t="n"/>
      <c r="C87" s="12" t="n"/>
      <c r="D87" s="12" t="n"/>
      <c r="E87" s="12" t="n"/>
      <c r="F87" s="12" t="n"/>
      <c r="G87" s="13" t="n"/>
      <c r="H87" s="17" t="n"/>
    </row>
    <row r="88">
      <c r="A88" s="25" t="n"/>
      <c r="B88" s="12" t="n"/>
      <c r="C88" s="12" t="n"/>
      <c r="D88" s="12" t="n"/>
      <c r="E88" s="12" t="n"/>
      <c r="F88" s="12" t="n"/>
      <c r="G88" s="13" t="n"/>
      <c r="H88" s="17" t="n"/>
    </row>
    <row r="89">
      <c r="A89" s="25" t="n"/>
      <c r="B89" s="12" t="n"/>
      <c r="C89" s="12" t="n"/>
      <c r="D89" s="12" t="n"/>
      <c r="E89" s="12" t="n"/>
      <c r="F89" s="12" t="n"/>
      <c r="G89" s="13" t="n"/>
      <c r="H89" s="17" t="n"/>
    </row>
    <row r="90">
      <c r="A90" s="25" t="n"/>
      <c r="B90" s="12" t="n"/>
      <c r="C90" s="12" t="n"/>
      <c r="D90" s="12" t="n"/>
      <c r="E90" s="12" t="n"/>
      <c r="F90" s="12" t="n"/>
      <c r="G90" s="13" t="n"/>
      <c r="H90" s="17" t="n"/>
    </row>
    <row r="91">
      <c r="A91" s="25" t="n"/>
      <c r="B91" s="12" t="n"/>
      <c r="C91" s="12" t="n"/>
      <c r="D91" s="12" t="n"/>
      <c r="E91" s="12" t="n"/>
      <c r="F91" s="12" t="n"/>
      <c r="G91" s="13" t="n"/>
      <c r="H91" s="17" t="n"/>
    </row>
    <row r="92">
      <c r="A92" s="25" t="n"/>
      <c r="B92" s="12" t="n"/>
      <c r="C92" s="12" t="n"/>
      <c r="D92" s="12" t="n"/>
      <c r="E92" s="12" t="n"/>
      <c r="F92" s="12" t="n"/>
      <c r="G92" s="13" t="n"/>
      <c r="H92" s="17" t="n"/>
    </row>
    <row r="93">
      <c r="A93" s="25" t="n"/>
      <c r="B93" s="12" t="n"/>
      <c r="C93" s="12" t="n"/>
      <c r="D93" s="12" t="n"/>
      <c r="E93" s="12" t="n"/>
      <c r="F93" s="12" t="n"/>
      <c r="G93" s="13" t="n"/>
      <c r="H93" s="17" t="n"/>
    </row>
    <row r="94">
      <c r="A94" s="25" t="n"/>
      <c r="B94" s="12" t="n"/>
      <c r="C94" s="12" t="n"/>
      <c r="D94" s="12" t="n"/>
      <c r="E94" s="12" t="n"/>
      <c r="F94" s="12" t="n"/>
      <c r="G94" s="13" t="n"/>
      <c r="H94" s="17" t="n"/>
    </row>
    <row r="95">
      <c r="A95" s="25" t="n"/>
      <c r="B95" s="12" t="n"/>
      <c r="C95" s="12" t="n"/>
      <c r="D95" s="12" t="n"/>
      <c r="E95" s="12" t="n"/>
      <c r="F95" s="12" t="n"/>
      <c r="G95" s="13" t="n"/>
      <c r="H95" s="17" t="n"/>
    </row>
    <row r="96">
      <c r="A96" s="25" t="n"/>
      <c r="B96" s="12" t="n"/>
      <c r="C96" s="12" t="n"/>
      <c r="D96" s="12" t="n"/>
      <c r="E96" s="12" t="n"/>
      <c r="F96" s="12" t="n"/>
      <c r="G96" s="13" t="n"/>
      <c r="H96" s="17" t="n"/>
    </row>
    <row r="97">
      <c r="A97" s="25" t="n"/>
      <c r="B97" s="12" t="n"/>
      <c r="C97" s="12" t="n"/>
      <c r="D97" s="12" t="n"/>
      <c r="E97" s="12" t="n"/>
      <c r="F97" s="12" t="n"/>
      <c r="G97" s="13" t="n"/>
      <c r="H97" s="17" t="n"/>
    </row>
    <row r="98">
      <c r="A98" s="25" t="n"/>
      <c r="B98" s="12" t="n"/>
      <c r="C98" s="12" t="n"/>
      <c r="D98" s="12" t="n"/>
      <c r="E98" s="12" t="n"/>
      <c r="F98" s="12" t="n"/>
      <c r="G98" s="13" t="n"/>
      <c r="H98" s="17" t="n"/>
    </row>
    <row r="99">
      <c r="A99" s="25" t="n"/>
      <c r="B99" s="12" t="n"/>
      <c r="C99" s="12" t="n"/>
      <c r="D99" s="12" t="n"/>
      <c r="E99" s="12" t="n"/>
      <c r="F99" s="12" t="n"/>
      <c r="G99" s="13" t="n"/>
      <c r="H99" s="17" t="n"/>
    </row>
    <row r="100">
      <c r="A100" s="25" t="n"/>
      <c r="B100" s="12" t="n"/>
      <c r="C100" s="12" t="n"/>
      <c r="D100" s="12" t="n"/>
      <c r="E100" s="12" t="n"/>
      <c r="F100" s="12" t="n"/>
      <c r="G100" s="13" t="n"/>
      <c r="H100" s="17" t="n"/>
    </row>
    <row r="101">
      <c r="A101" s="26" t="n"/>
      <c r="B101" s="19" t="n"/>
      <c r="C101" s="19" t="n"/>
      <c r="D101" s="19" t="n"/>
      <c r="E101" s="19" t="n"/>
      <c r="F101" s="19" t="n"/>
      <c r="G101" s="20" t="n"/>
      <c r="H101" s="22" t="n"/>
    </row>
  </sheetData>
  <mergeCells count="1">
    <mergeCell ref="A1:H1"/>
  </mergeCells>
  <conditionalFormatting sqref="H3:H101">
    <cfRule type="expression" priority="1" dxfId="1">
      <formula>H3="Resolved"</formula>
    </cfRule>
    <cfRule type="expression" priority="2" dxfId="3">
      <formula>H3="In Progress"</formula>
    </cfRule>
    <cfRule type="expression" priority="3" dxfId="0">
      <formula>H3="Escalated"</formula>
    </cfRule>
  </conditionalFormatting>
  <dataValidations count="2">
    <dataValidation sqref="B3:B101" showDropDown="0" showInputMessage="0" showErrorMessage="0" allowBlank="0" type="list">
      <formula1>"Unit 1 / Phase 1,Phase 2,Phase 3,Final"</formula1>
    </dataValidation>
    <dataValidation sqref="H3:H101" showDropDown="0" showInputMessage="0" showErrorMessage="0" allowBlank="0" type="list">
      <formula1>"Open,In Progress,Resolved,Escalated"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3"/>
  <sheetViews>
    <sheetView topLeftCell="A9" workbookViewId="0">
      <selection activeCell="B13" sqref="B13"/>
    </sheetView>
  </sheetViews>
  <sheetFormatPr baseColWidth="8" defaultRowHeight="14.25"/>
  <cols>
    <col width="34" customWidth="1" min="1" max="1"/>
    <col width="58" customWidth="1" min="2" max="2"/>
    <col width="3" customWidth="1" min="3" max="3"/>
    <col width="40" customWidth="1" min="4" max="4"/>
    <col width="12" customWidth="1" min="5" max="5"/>
    <col width="3" customWidth="1" min="6" max="6"/>
  </cols>
  <sheetData>
    <row r="1" ht="30" customHeight="1">
      <c r="A1" s="38" t="inlineStr">
        <is>
          <t>Phase Progress Summary</t>
        </is>
      </c>
    </row>
    <row r="3" ht="15" customHeight="1">
      <c r="A3" s="35" t="inlineStr">
        <is>
          <t>Summary Information</t>
        </is>
      </c>
      <c r="B3" s="36" t="inlineStr">
        <is>
          <t>Group Response</t>
        </is>
      </c>
      <c r="D3" s="41" t="inlineStr">
        <is>
          <t>Phase Completion Checklist</t>
        </is>
      </c>
    </row>
    <row r="4" ht="15" customHeight="1">
      <c r="A4" s="3" t="inlineStr">
        <is>
          <t>Reporting phase</t>
        </is>
      </c>
      <c r="B4" s="7" t="inlineStr">
        <is>
          <t>Unit 1 / Phase 1</t>
        </is>
      </c>
      <c r="D4" s="3" t="inlineStr">
        <is>
          <t>Initial or updated SRS completed</t>
        </is>
      </c>
      <c r="E4" s="27" t="inlineStr">
        <is>
          <t>Yes</t>
        </is>
      </c>
    </row>
    <row r="5" ht="15" customHeight="1">
      <c r="A5" s="3" t="inlineStr">
        <is>
          <t>Reporting period</t>
        </is>
      </c>
      <c r="B5" s="7" t="inlineStr">
        <is>
          <t>7- 25 September 2026</t>
        </is>
      </c>
      <c r="D5" s="3" t="inlineStr">
        <is>
          <t>Progress report updated</t>
        </is>
      </c>
      <c r="E5" s="27" t="inlineStr">
        <is>
          <t>Yes</t>
        </is>
      </c>
    </row>
    <row r="6" ht="15" customHeight="1">
      <c r="A6" s="3" t="inlineStr">
        <is>
          <t>Overall phase status</t>
        </is>
      </c>
      <c r="B6" s="7" t="inlineStr">
        <is>
          <t>Completed</t>
        </is>
      </c>
      <c r="D6" s="3" t="inlineStr">
        <is>
          <t>Individual contributions recorded</t>
        </is>
      </c>
      <c r="E6" s="27" t="inlineStr">
        <is>
          <t>Yes</t>
        </is>
      </c>
    </row>
    <row r="7" ht="60" customHeight="1">
      <c r="A7" s="3" t="inlineStr">
        <is>
          <t>What was completed during this phase?</t>
        </is>
      </c>
      <c r="B7" s="7" t="inlineStr">
        <is>
          <t>The System Architecture, ERD Table, Use Case Diagram, GitHub Documentation, Sequence Diagrams and Updated SRS Documentation</t>
        </is>
      </c>
      <c r="D7" s="3" t="inlineStr">
        <is>
          <t>Stakeholder engagement recorded</t>
        </is>
      </c>
      <c r="E7" s="27" t="inlineStr">
        <is>
          <t>Yes</t>
        </is>
      </c>
    </row>
    <row r="8" ht="60" customHeight="1">
      <c r="A8" s="3" t="inlineStr">
        <is>
          <t>What remains incomplete?</t>
        </is>
      </c>
      <c r="B8" s="7" t="inlineStr">
        <is>
          <t>Nothing</t>
        </is>
      </c>
      <c r="D8" s="3" t="inlineStr">
        <is>
          <t>Challenges and actions updated</t>
        </is>
      </c>
      <c r="E8" s="27" t="inlineStr">
        <is>
          <t>Yes</t>
        </is>
      </c>
    </row>
    <row r="9" ht="60" customHeight="1">
      <c r="A9" s="3" t="inlineStr">
        <is>
          <t>Why is it incomplete?</t>
        </is>
      </c>
      <c r="B9" s="7" t="n"/>
      <c r="D9" s="3" t="inlineStr">
        <is>
          <t>Group reflection completed</t>
        </is>
      </c>
      <c r="E9" s="27" t="inlineStr">
        <is>
          <t>Yes</t>
        </is>
      </c>
    </row>
    <row r="10" ht="60" customHeight="1">
      <c r="A10" s="3" t="inlineStr">
        <is>
          <t>Which contributions were particularly important?</t>
        </is>
      </c>
      <c r="B10" s="7" t="inlineStr">
        <is>
          <t xml:space="preserve">The Progress Tracker and Updated SRS </t>
        </is>
      </c>
      <c r="D10" s="3" t="inlineStr">
        <is>
          <t>Microsoft Project updated</t>
        </is>
      </c>
      <c r="E10" s="27" t="inlineStr">
        <is>
          <t>Yes</t>
        </is>
      </c>
    </row>
    <row r="11" ht="60" customHeight="1">
      <c r="A11" s="3" t="inlineStr">
        <is>
          <t>Were there participation concerns?</t>
        </is>
      </c>
      <c r="B11" s="7" t="inlineStr">
        <is>
          <t>Yes</t>
        </is>
      </c>
      <c r="D11" s="3" t="inlineStr">
        <is>
          <t>GitHub evidence available</t>
        </is>
      </c>
      <c r="E11" s="27" t="inlineStr">
        <is>
          <t>Yes</t>
        </is>
      </c>
    </row>
    <row r="12" ht="60" customHeight="1">
      <c r="A12" s="3" t="inlineStr">
        <is>
          <t>What will the group improve in the next phase?</t>
        </is>
      </c>
      <c r="B12" s="7" t="inlineStr">
        <is>
          <t>Improve good group communication and address participation cooncerns</t>
        </is>
      </c>
      <c r="D12" s="5" t="inlineStr">
        <is>
          <t>Confidential peer check completed</t>
        </is>
      </c>
      <c r="E12" s="28" t="inlineStr">
        <is>
          <t>Yes</t>
        </is>
      </c>
    </row>
    <row r="13" ht="60" customHeight="1">
      <c r="A13" s="5" t="inlineStr">
        <is>
          <t>Main priority for the next phase</t>
        </is>
      </c>
      <c r="B13" s="9" t="inlineStr">
        <is>
          <t>Developing the Prototypes</t>
        </is>
      </c>
    </row>
  </sheetData>
  <mergeCells count="2">
    <mergeCell ref="D3:F3"/>
    <mergeCell ref="A1:F1"/>
  </mergeCells>
  <conditionalFormatting sqref="E4:E12">
    <cfRule type="expression" priority="1" dxfId="1">
      <formula>E4="Yes"</formula>
    </cfRule>
    <cfRule type="expression" priority="2" dxfId="0">
      <formula>E4="No"</formula>
    </cfRule>
  </conditionalFormatting>
  <dataValidations count="3">
    <dataValidation sqref="B4" showDropDown="0" showInputMessage="0" showErrorMessage="0" allowBlank="0" type="list">
      <formula1>"Unit 1 / Phase 1,Phase 2,Phase 3,Final"</formula1>
    </dataValidation>
    <dataValidation sqref="B6" showDropDown="0" showInputMessage="0" showErrorMessage="0" allowBlank="0" type="list">
      <formula1>"Not Started,In Progress,Completed,Delayed,Blocked"</formula1>
    </dataValidation>
    <dataValidation sqref="E4:E12" showDropDown="0" showInputMessage="0" showErrorMessage="0" allowBlank="0" type="list">
      <formula1>"Yes,No"</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5"/>
  <sheetViews>
    <sheetView tabSelected="1" topLeftCell="A10" zoomScale="115" zoomScaleNormal="115" workbookViewId="0">
      <selection activeCell="B9" sqref="B9"/>
    </sheetView>
  </sheetViews>
  <sheetFormatPr baseColWidth="8" defaultRowHeight="14.25"/>
  <cols>
    <col width="38" customWidth="1" min="1" max="1"/>
    <col width="62" customWidth="1" min="2" max="2"/>
    <col width="3" customWidth="1" min="3" max="3"/>
    <col width="20" customWidth="1" min="4" max="4"/>
    <col width="48" customWidth="1" min="5" max="5"/>
    <col width="3" customWidth="1" min="6" max="6"/>
  </cols>
  <sheetData>
    <row r="1" ht="30" customHeight="1">
      <c r="A1" s="38" t="inlineStr">
        <is>
          <t>Group Reflection</t>
        </is>
      </c>
    </row>
    <row r="3" ht="15" customHeight="1">
      <c r="A3" s="35" t="inlineStr">
        <is>
          <t>Reflection Information</t>
        </is>
      </c>
      <c r="B3" s="36" t="inlineStr">
        <is>
          <t>Group Response</t>
        </is>
      </c>
      <c r="D3" s="41" t="inlineStr">
        <is>
          <t>Reflection Guidance</t>
        </is>
      </c>
    </row>
    <row r="4" ht="42" customHeight="1">
      <c r="A4" s="3" t="inlineStr">
        <is>
          <t>Reporting phase</t>
        </is>
      </c>
      <c r="B4" s="7" t="inlineStr">
        <is>
          <t>Unit 3 / Phase 2</t>
        </is>
      </c>
      <c r="D4" s="3" t="inlineStr">
        <is>
          <t>Length</t>
        </is>
      </c>
      <c r="E4" s="4" t="inlineStr">
        <is>
          <t>Approximately 300–400 words in total.</t>
        </is>
      </c>
    </row>
    <row r="5" ht="42" customHeight="1">
      <c r="A5" s="3" t="inlineStr">
        <is>
          <t>Project title</t>
        </is>
      </c>
      <c r="B5" s="7" t="inlineStr">
        <is>
          <t>Phehello Online Enrollments System</t>
        </is>
      </c>
      <c r="D5" s="3" t="inlineStr">
        <is>
          <t>Focus</t>
        </is>
      </c>
      <c r="E5" s="4" t="inlineStr">
        <is>
          <t>Discuss the group’s actual experience, not the activity instructions.</t>
        </is>
      </c>
    </row>
    <row r="6" ht="42" customHeight="1">
      <c r="A6" s="3" t="inlineStr">
        <is>
          <t>Most important learning from this phase</t>
        </is>
      </c>
      <c r="B6" s="7" t="inlineStr">
        <is>
          <t>Because Flutter and ASP.NET both read and write directly to the same Supabase Authentication, Database and Storage APIs, any mismatch between the SRS, the sequence diagrams and the actual schema breaks something for both applications at once. Reviewing our schema against the approved sequence diagrams taught us to treat the ERD as a living document, not a one-off diagram.</t>
        </is>
      </c>
      <c r="D6" s="3" t="inlineStr">
        <is>
          <t>Honesty</t>
        </is>
      </c>
      <c r="E6" s="4" t="inlineStr">
        <is>
          <t>Identifying a genuine challenge will not disadvantage the group when an improvement action is provided.</t>
        </is>
      </c>
    </row>
    <row r="7" ht="42" customHeight="1">
      <c r="A7" s="3" t="inlineStr">
        <is>
          <t>What went well and why?</t>
        </is>
      </c>
      <c r="B7" s="7" t="inlineStr">
        <is>
          <t>Producing the Architecture Diagram, ERD, Use Case Diagrams and three Sequence Diagrams went well because work was split by strength and each diagram was checked against the others. Live stakeholder feedback was also incorporated smoothly: WhatsApp input on the colour scheme and on the enrolment fee/banking details became concrete changes, including a new Payment Information screen, within days.</t>
        </is>
      </c>
      <c r="D7" s="3" t="inlineStr">
        <is>
          <t>Evidence</t>
        </is>
      </c>
      <c r="E7" s="4" t="inlineStr">
        <is>
          <t>Ensure that claims about participation agree with the contribution record, Microsoft Project and GitHub.</t>
        </is>
      </c>
    </row>
    <row r="8" ht="42" customHeight="1">
      <c r="A8" s="3" t="inlineStr">
        <is>
          <t>What was difficult and why?</t>
        </is>
      </c>
      <c r="B8" s="7" t="inlineStr">
        <is>
          <t>The Use Case and Sequence Diagrams were hardest, particularly keeping three separate sequence diagrams aligned with the use case actors and the eventual database schema. The Flutter and ASP.NET interface designs were also left incomplete by the assigned member and had to be finished by others close to the deadline.</t>
        </is>
      </c>
      <c r="D8" s="5" t="inlineStr">
        <is>
          <t>Research use</t>
        </is>
      </c>
      <c r="E8" s="6" t="inlineStr">
        <is>
          <t>Student work may only be used for research after the required ethical approval and consent processes.</t>
        </is>
      </c>
    </row>
    <row r="9" ht="74.09999999999999" customHeight="1">
      <c r="A9" s="3" t="inlineStr">
        <is>
          <t>How were tasks divided among members?</t>
        </is>
      </c>
      <c r="B9" s="7" t="inlineStr">
        <is>
          <t>Tasks were split by strength: architecture and progress tracking (Paballo), SRS and database documentation (Mamello), Use Case diagrams and GitHub documentation (Katleho), sequence diagrams split between ASP.NET (David) and Flutter (Mpho), and interface design (Lerato, later supported by Mamello and Paballo).</t>
        </is>
      </c>
    </row>
    <row r="10" ht="74.09999999999999" customHeight="1">
      <c r="A10" s="3" t="inlineStr">
        <is>
          <t>Did all members contribute fairly? Explain.</t>
        </is>
      </c>
      <c r="B10" s="7" t="inlineStr">
        <is>
          <t>Contribution was uneven. Most deliverables were completed and verified, but the interface design task was left unfinished by the assigned member and had to be picked up by others. Core members carried a larger share of the documentation and schema-review work needed to keep Phase 2 consistent.</t>
        </is>
      </c>
    </row>
    <row r="11" ht="74.09999999999999" customHeight="1">
      <c r="A11" s="3" t="inlineStr">
        <is>
          <t>How did the group handle disagreements or delays?</t>
        </is>
      </c>
      <c r="B11" s="7" t="inlineStr">
        <is>
          <t>No major interpersonal conflicts occurred, but unfinished interface designs and the need to realign the schema with the sequence diagrams caused delays. These were resolved by reassigning the outstanding design work and documenting the database design decisions so the SRS, ERD and diagrams stayed consistent.</t>
        </is>
      </c>
    </row>
    <row r="12" ht="74.09999999999999" customHeight="1">
      <c r="A12" s="3" t="inlineStr">
        <is>
          <t>What did the group learn from the stakeholder?</t>
        </is>
      </c>
      <c r="B12" s="7" t="inlineStr">
        <is>
          <t>The stakeholder gave fast, concrete feedback once asked directly: brown and white were confirmed as interface colours, and the R200 enrolment fee with FNB banking details were supplied for the Payment Information screen. Short, targeted WhatsApp check-ins worked better than waiting for scheduled meetings.</t>
        </is>
      </c>
    </row>
    <row r="13" ht="74.09999999999999" customHeight="1">
      <c r="A13" s="3" t="inlineStr">
        <is>
          <t>Improvement action 1 for the next phase</t>
        </is>
      </c>
      <c r="B13" s="7" t="inlineStr">
        <is>
          <t>Assign and check interface design work earlier, with an interim review point, so an unfinished screen is caught and reassigned before it becomes a deadline risk.</t>
        </is>
      </c>
    </row>
    <row r="14" ht="74.09999999999999" customHeight="1">
      <c r="A14" s="3" t="inlineStr">
        <is>
          <t>Improvement action 2 for the next phase</t>
        </is>
      </c>
      <c r="B14" s="7" t="inlineStr">
        <is>
          <t>Review the schema against the SRS and sequence diagrams continuously during development, rather than only at the end of the phase, to catch alignment issues earlier.</t>
        </is>
      </c>
    </row>
    <row r="15" ht="74.09999999999999" customHeight="1">
      <c r="A15" s="5" t="inlineStr">
        <is>
          <t>Priority for the next phase</t>
        </is>
      </c>
      <c r="B15" s="9" t="inlineStr">
        <is>
          <t>Moving from design into development: building the Flutter and ASP.NET applications against the finalised ERD and sequence diagrams, and beginning integration testing through Supabase.</t>
        </is>
      </c>
    </row>
  </sheetData>
  <mergeCells count="2">
    <mergeCell ref="D3:F3"/>
    <mergeCell ref="A1:F1"/>
  </mergeCells>
  <dataValidations count="1">
    <dataValidation sqref="B4" showDropDown="0" showInputMessage="0" showErrorMessage="0" allowBlank="0" type="list">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Mamello Lepitla;Paballo Inspection Junior Lebusa</dc:creator>
  <dcterms:created xmlns:dcterms="http://purl.org/dc/terms/" xmlns:xsi="http://www.w3.org/2001/XMLSchema-instance" xsi:type="dcterms:W3CDTF">2026-08-31T06:45:06Z</dcterms:created>
  <dcterms:modified xmlns:dcterms="http://purl.org/dc/terms/" xmlns:xsi="http://www.w3.org/2001/XMLSchema-instance" xsi:type="dcterms:W3CDTF">2026-09-25T21:20:13Z</dcterms:modified>
  <cp:lastModifiedBy>Paballo Inspection Junior Lebusa</cp:lastModifiedBy>
</cp:coreProperties>
</file>